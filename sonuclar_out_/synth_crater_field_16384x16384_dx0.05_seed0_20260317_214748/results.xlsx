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'grafikler'!$B$152:$B$160</f>
            </numRef>
          </yVal>
        </ser>
        <ser>
          <idx val="1"/>
          <order val="1"/>
          <tx>
            <strRef>
              <f>'grafikler'!C151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'grafikler'!$C$152:$C$160</f>
            </numRef>
          </yVal>
        </ser>
        <ser>
          <idx val="2"/>
          <order val="2"/>
          <tx>
            <strRef>
              <f>'grafikler'!D151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'grafikler'!$D$152:$D$160</f>
            </numRef>
          </yVal>
        </ser>
        <ser>
          <idx val="3"/>
          <order val="3"/>
          <tx>
            <strRef>
              <f>'grafikler'!E151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'grafikler'!$E$152:$E$160</f>
            </numRef>
          </yVal>
        </ser>
        <ser>
          <idx val="4"/>
          <order val="4"/>
          <tx>
            <strRef>
              <f>'grafikler'!F151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'grafikler'!$F$152:$F$160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'grafikler'!B164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'grafikler'!$B$165:$B$173</f>
            </numRef>
          </yVal>
        </ser>
        <ser>
          <idx val="1"/>
          <order val="1"/>
          <tx>
            <strRef>
              <f>'grafikler'!C164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'grafikler'!$C$165:$C$173</f>
            </numRef>
          </yVal>
        </ser>
        <ser>
          <idx val="2"/>
          <order val="2"/>
          <tx>
            <strRef>
              <f>'grafikler'!D164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'grafikler'!$D$165:$D$173</f>
            </numRef>
          </yVal>
        </ser>
        <ser>
          <idx val="3"/>
          <order val="3"/>
          <tx>
            <strRef>
              <f>'grafikler'!E164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'grafikler'!$E$165:$E$173</f>
            </numRef>
          </yVal>
        </ser>
        <ser>
          <idx val="4"/>
          <order val="4"/>
          <tx>
            <strRef>
              <f>'grafikler'!F164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'grafikler'!$F$165:$F$173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'grafikler'!$B$178:$B$186</f>
            </numRef>
          </yVal>
        </ser>
        <ser>
          <idx val="1"/>
          <order val="1"/>
          <tx>
            <strRef>
              <f>'grafikler'!C177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'grafikler'!$C$178:$C$186</f>
            </numRef>
          </yVal>
        </ser>
        <ser>
          <idx val="2"/>
          <order val="2"/>
          <tx>
            <strRef>
              <f>'grafikler'!D177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'grafikler'!$D$178:$D$186</f>
            </numRef>
          </yVal>
        </ser>
        <ser>
          <idx val="3"/>
          <order val="3"/>
          <tx>
            <strRef>
              <f>'grafikler'!E177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'grafikler'!$E$178:$E$186</f>
            </numRef>
          </yVal>
        </ser>
        <ser>
          <idx val="4"/>
          <order val="4"/>
          <tx>
            <strRef>
              <f>'grafikler'!F177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'grafikler'!$F$178:$F$186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'grafikler'!$B$191</f>
            </numRef>
          </yVal>
        </ser>
        <ser>
          <idx val="1"/>
          <order val="1"/>
          <tx>
            <strRef>
              <f>'grafikler'!C190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'grafikler'!$C$191</f>
            </numRef>
          </yVal>
        </ser>
        <ser>
          <idx val="2"/>
          <order val="2"/>
          <tx>
            <strRef>
              <f>'grafikler'!D190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'grafikler'!$D$191</f>
            </numRef>
          </yVal>
        </ser>
        <ser>
          <idx val="3"/>
          <order val="3"/>
          <tx>
            <strRef>
              <f>'grafikler'!E190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'grafikler'!$E$191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'grafikler'!B195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'grafikler'!$B$196:$B$204</f>
            </numRef>
          </yVal>
        </ser>
        <ser>
          <idx val="1"/>
          <order val="1"/>
          <tx>
            <strRef>
              <f>'grafikler'!C195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'grafikler'!$C$196:$C$204</f>
            </numRef>
          </yVal>
        </ser>
        <ser>
          <idx val="2"/>
          <order val="2"/>
          <tx>
            <strRef>
              <f>'grafikler'!D195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'grafikler'!$D$196:$D$204</f>
            </numRef>
          </yVal>
        </ser>
        <ser>
          <idx val="3"/>
          <order val="3"/>
          <tx>
            <strRef>
              <f>'grafikler'!E195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'grafikler'!$E$196:$E$204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'grafikler'!$A$209</f>
            </numRef>
          </xVal>
          <yVal>
            <numRef>
              <f>'grafikler'!$B$209</f>
            </numRef>
          </yVal>
        </ser>
        <ser>
          <idx val="1"/>
          <order val="1"/>
          <tx>
            <strRef>
              <f>'grafikler'!D208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'grafikler'!$C$209</f>
            </numRef>
          </xVal>
          <yVal>
            <numRef>
              <f>'grafikler'!$D$209</f>
            </numRef>
          </yVal>
        </ser>
        <ser>
          <idx val="2"/>
          <order val="2"/>
          <tx>
            <strRef>
              <f>'grafikler'!F208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'grafikler'!$E$209</f>
            </numRef>
          </xVal>
          <yVal>
            <numRef>
              <f>'grafikler'!$F$209</f>
            </numRef>
          </yVal>
        </ser>
        <ser>
          <idx val="3"/>
          <order val="3"/>
          <tx>
            <strRef>
              <f>'grafikler'!H208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'grafikler'!$G$209</f>
            </numRef>
          </xVal>
          <yVal>
            <numRef>
              <f>'grafikler'!$H$209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50" displayName="A3D_vs_GSD___kaynak_veri_150" ref="A151:F160" headerRowCount="1">
  <autoFilter ref="A151:F16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63" displayName="A3D_A2D_Ratio_vs_GSD___kaynak_veri_163" ref="A164:F173" headerRowCount="1">
  <autoFilter ref="A164:F173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76" displayName="Surface_Excess_vs_GSD___kaynak_veri_176" ref="A177:F186" headerRowCount="1">
  <autoFilter ref="A177:F186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Native_grid_Reference____kaynak_veri_189" displayName="Relative_Error_vs_GSD__Native_grid_Reference____kaynak_veri_189" ref="A190:E191" headerRowCount="1">
  <autoFilter ref="A190:E191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untime_vs_GSD___kaynak_veri_194" displayName="Runtime_vs_GSD___kaynak_veri_194" ref="A195:E204" headerRowCount="1">
  <autoFilter ref="A195:E204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Error_vs_Runtime___kaynak_veri_207" displayName="Error_vs_Runtime___kaynak_veri_207" ref="A208:H209" headerRowCount="1">
  <autoFilter ref="A208:H209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1031090.172675546</v>
      </c>
      <c r="G2" t="n">
        <v>1.536819263958276</v>
      </c>
      <c r="H2" t="n">
        <v>268369924</v>
      </c>
      <c r="I2" t="n">
        <v>5.517844799998784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1032197.014783243</v>
      </c>
      <c r="N2" t="n">
        <v>1.538281182843503</v>
      </c>
      <c r="O2" t="n">
        <v>-1106.842107696226</v>
      </c>
      <c r="P2" t="n">
        <v>-0.001072316710709204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1032074.255459993</v>
      </c>
      <c r="G3" t="n">
        <v>1.538286019650984</v>
      </c>
      <c r="H3" t="n">
        <v>268369924</v>
      </c>
      <c r="I3" t="n">
        <v>57.71823479999966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1032197.014783243</v>
      </c>
      <c r="N3" t="n">
        <v>1.538281182843503</v>
      </c>
      <c r="O3" t="n">
        <v>-122.759323249571</v>
      </c>
      <c r="P3" t="n">
        <v>-0.0001189301281551856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1031221.88690824</v>
      </c>
      <c r="G4" t="n">
        <v>1.5370155813857</v>
      </c>
      <c r="H4" t="n">
        <v>268369924</v>
      </c>
      <c r="I4" t="n">
        <v>2119.3942546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1032197.014783243</v>
      </c>
      <c r="N4" t="n">
        <v>1.538281182843503</v>
      </c>
      <c r="O4" t="n">
        <v>-975.1278750022175</v>
      </c>
      <c r="P4" t="n">
        <v>-0.0009447110009390896</v>
      </c>
      <c r="Q4" t="n">
        <v>0.9999999813690001</v>
      </c>
      <c r="R4" t="n">
        <v>1</v>
      </c>
      <c r="S4" t="n">
        <v>0.9999999813690001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1031286.291444795</v>
      </c>
      <c r="G5" t="n">
        <v>1.537111575058306</v>
      </c>
      <c r="H5" t="n">
        <v>268369924</v>
      </c>
      <c r="I5" t="n">
        <v>14.94565190000162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1032197.014783243</v>
      </c>
      <c r="N5" t="n">
        <v>1.538281182843503</v>
      </c>
      <c r="O5" t="n">
        <v>-910.7233384480933</v>
      </c>
      <c r="P5" t="n">
        <v>-0.0008823154159570414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1032197.014783243</v>
      </c>
      <c r="G6" t="n">
        <v>1.538281182843503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1032197.014783243</v>
      </c>
      <c r="N6" t="n">
        <v>1.538281182843503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1025027.743473941</v>
      </c>
      <c r="G7" t="n">
        <v>1.52815644241979</v>
      </c>
      <c r="H7" t="n">
        <v>67076100</v>
      </c>
      <c r="I7" t="n">
        <v>1.398477700006424</v>
      </c>
      <c r="J7" t="n">
        <v>6.247059399999898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1028887.243231146</v>
      </c>
      <c r="G8" t="n">
        <v>1.53391035440514</v>
      </c>
      <c r="H8" t="n">
        <v>67076100</v>
      </c>
      <c r="I8" t="n">
        <v>14.49843099999657</v>
      </c>
      <c r="J8" t="n">
        <v>6.247059399999898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1025544.569333619</v>
      </c>
      <c r="G9" t="n">
        <v>1.528926949142271</v>
      </c>
      <c r="H9" t="n">
        <v>67076100</v>
      </c>
      <c r="I9" t="n">
        <v>522.1098302999928</v>
      </c>
      <c r="J9" t="n">
        <v>6.247059399999898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1</v>
      </c>
      <c r="R9" t="n">
        <v>1</v>
      </c>
      <c r="S9" t="n">
        <v>1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1025792.408595114</v>
      </c>
      <c r="G10" t="n">
        <v>1.529296438813696</v>
      </c>
      <c r="H10" t="n">
        <v>67076100</v>
      </c>
      <c r="I10" t="n">
        <v>3.434194099997512</v>
      </c>
      <c r="J10" t="n">
        <v>6.247059399999898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905964.6524938049</v>
      </c>
      <c r="G11" t="n">
        <v>1.353956295834262</v>
      </c>
      <c r="H11" t="n">
        <v>2676496</v>
      </c>
      <c r="I11" t="n">
        <v>0.07208310000032725</v>
      </c>
      <c r="J11" t="n">
        <v>3.583130199999914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967012.663097441</v>
      </c>
      <c r="G12" t="n">
        <v>1.445192016871971</v>
      </c>
      <c r="H12" t="n">
        <v>2676496</v>
      </c>
      <c r="I12" t="n">
        <v>0.4866548999996212</v>
      </c>
      <c r="J12" t="n">
        <v>3.583130199999914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914369.0438185292</v>
      </c>
      <c r="G13" t="n">
        <v>1.366516585593297</v>
      </c>
      <c r="H13" t="n">
        <v>2676496</v>
      </c>
      <c r="I13" t="n">
        <v>22.62253390000024</v>
      </c>
      <c r="J13" t="n">
        <v>3.583130199999914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1.041242355676975</v>
      </c>
      <c r="R13" t="n">
        <v>3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916041.4453131445</v>
      </c>
      <c r="G14" t="n">
        <v>1.369015975085551</v>
      </c>
      <c r="H14" t="n">
        <v>2676496</v>
      </c>
      <c r="I14" t="n">
        <v>0.1441898000007313</v>
      </c>
      <c r="J14" t="n">
        <v>3.583130199999914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772061.3923024898</v>
      </c>
      <c r="G15" t="n">
        <v>1.15666534175468</v>
      </c>
      <c r="H15" t="n">
        <v>667489</v>
      </c>
      <c r="I15" t="n">
        <v>0.01384199999984048</v>
      </c>
      <c r="J15" t="n">
        <v>3.75223149999988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855058.3544560658</v>
      </c>
      <c r="G16" t="n">
        <v>1.281007409045042</v>
      </c>
      <c r="H16" t="n">
        <v>667489</v>
      </c>
      <c r="I16" t="n">
        <v>0.1058435000004465</v>
      </c>
      <c r="J16" t="n">
        <v>3.75223149999988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783592.5978963553</v>
      </c>
      <c r="G17" t="n">
        <v>1.173940840817385</v>
      </c>
      <c r="H17" t="n">
        <v>667489</v>
      </c>
      <c r="I17" t="n">
        <v>6.717976499999395</v>
      </c>
      <c r="J17" t="n">
        <v>3.75223149999988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1.051314703313463</v>
      </c>
      <c r="R17" t="n">
        <v>3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781745.1870901368</v>
      </c>
      <c r="G18" t="n">
        <v>1.171173138568781</v>
      </c>
      <c r="H18" t="n">
        <v>667489</v>
      </c>
      <c r="I18" t="n">
        <v>0.02457579999963855</v>
      </c>
      <c r="J18" t="n">
        <v>3.75223149999988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697178.8728550607</v>
      </c>
      <c r="G19" t="n">
        <v>1.047041511760892</v>
      </c>
      <c r="H19" t="n">
        <v>166464</v>
      </c>
      <c r="I19" t="n">
        <v>0.002480099999957019</v>
      </c>
      <c r="J19" t="n">
        <v>3.510367400000177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734102.5968964151</v>
      </c>
      <c r="G20" t="n">
        <v>1.102494528691512</v>
      </c>
      <c r="H20" t="n">
        <v>166464</v>
      </c>
      <c r="I20" t="n">
        <v>0.01847409999982119</v>
      </c>
      <c r="J20" t="n">
        <v>3.510367400000177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701975.7544888755</v>
      </c>
      <c r="G21" t="n">
        <v>1.054245594376074</v>
      </c>
      <c r="H21" t="n">
        <v>166464</v>
      </c>
      <c r="I21" t="n">
        <v>1.145736599999964</v>
      </c>
      <c r="J21" t="n">
        <v>3.510367400000177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1.00019824106113</v>
      </c>
      <c r="R21" t="n">
        <v>2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700321.1355941611</v>
      </c>
      <c r="G22" t="n">
        <v>1.051760644334753</v>
      </c>
      <c r="H22" t="n">
        <v>166464</v>
      </c>
      <c r="I22" t="n">
        <v>0.004824900000130583</v>
      </c>
      <c r="J22" t="n">
        <v>3.510367400000177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667655.1312802858</v>
      </c>
      <c r="G23" t="n">
        <v>1.017611844658262</v>
      </c>
      <c r="H23" t="n">
        <v>26244</v>
      </c>
      <c r="I23" t="n">
        <v>0.0003005000000939617</v>
      </c>
      <c r="J23" t="n">
        <v>3.642377800000077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672039.605586482</v>
      </c>
      <c r="G24" t="n">
        <v>1.024294475821494</v>
      </c>
      <c r="H24" t="n">
        <v>26244</v>
      </c>
      <c r="I24" t="n">
        <v>0.003017599999793674</v>
      </c>
      <c r="J24" t="n">
        <v>3.642377800000077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668202.0854665835</v>
      </c>
      <c r="G25" t="n">
        <v>1.018445489203755</v>
      </c>
      <c r="H25" t="n">
        <v>26244</v>
      </c>
      <c r="I25" t="n">
        <v>0.07399170000007871</v>
      </c>
      <c r="J25" t="n">
        <v>3.642377800000077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</v>
      </c>
      <c r="R25" t="n">
        <v>1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667967.8263886897</v>
      </c>
      <c r="G26" t="n">
        <v>1.01808844137889</v>
      </c>
      <c r="H26" t="n">
        <v>26244</v>
      </c>
      <c r="I26" t="n">
        <v>0.001029799999969327</v>
      </c>
      <c r="J26" t="n">
        <v>3.642377800000077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648851.1958965978</v>
      </c>
      <c r="G27" t="n">
        <v>1.013829993588434</v>
      </c>
      <c r="H27" t="n">
        <v>6400</v>
      </c>
      <c r="I27" t="n">
        <v>0.0001184000000193919</v>
      </c>
      <c r="J27" t="n">
        <v>3.650754799999959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650272.048238875</v>
      </c>
      <c r="G28" t="n">
        <v>1.016050075373242</v>
      </c>
      <c r="H28" t="n">
        <v>6400</v>
      </c>
      <c r="I28" t="n">
        <v>0.0007539999999153224</v>
      </c>
      <c r="J28" t="n">
        <v>3.650754799999959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649067.9193155391</v>
      </c>
      <c r="G29" t="n">
        <v>1.01416862393053</v>
      </c>
      <c r="H29" t="n">
        <v>6400</v>
      </c>
      <c r="I29" t="n">
        <v>0.02013629999987643</v>
      </c>
      <c r="J29" t="n">
        <v>3.650754799999959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</v>
      </c>
      <c r="R29" t="n">
        <v>1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649027.2590817248</v>
      </c>
      <c r="G30" t="n">
        <v>1.014105092315195</v>
      </c>
      <c r="H30" t="n">
        <v>6400</v>
      </c>
      <c r="I30" t="n">
        <v>0.000382200000103694</v>
      </c>
      <c r="J30" t="n">
        <v>3.650754799999959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613684.9919674984</v>
      </c>
      <c r="G31" t="n">
        <v>1.008686706060977</v>
      </c>
      <c r="H31" t="n">
        <v>1521</v>
      </c>
      <c r="I31" t="n">
        <v>7.170000003497989e-05</v>
      </c>
      <c r="J31" t="n">
        <v>3.837466800000129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615923.4170061913</v>
      </c>
      <c r="G32" t="n">
        <v>1.012365905664351</v>
      </c>
      <c r="H32" t="n">
        <v>1521</v>
      </c>
      <c r="I32" t="n">
        <v>0.0003949000001739478</v>
      </c>
      <c r="J32" t="n">
        <v>3.837466800000129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614010.8376477049</v>
      </c>
      <c r="G33" t="n">
        <v>1.009222284102079</v>
      </c>
      <c r="H33" t="n">
        <v>1521</v>
      </c>
      <c r="I33" t="n">
        <v>0.006156799999871509</v>
      </c>
      <c r="J33" t="n">
        <v>3.837466800000129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</v>
      </c>
      <c r="R33" t="n">
        <v>1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614024.2922843229</v>
      </c>
      <c r="G34" t="n">
        <v>1.00924439888942</v>
      </c>
      <c r="H34" t="n">
        <v>1521</v>
      </c>
      <c r="I34" t="n">
        <v>0.0003002999999353051</v>
      </c>
      <c r="J34" t="n">
        <v>3.837466800000129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490638.6857010667</v>
      </c>
      <c r="G35" t="n">
        <v>1.001303440206259</v>
      </c>
      <c r="H35" t="n">
        <v>196</v>
      </c>
      <c r="I35" t="n">
        <v>5.740000005971524e-05</v>
      </c>
      <c r="J35" t="n">
        <v>5.302680499999951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491998.8178168287</v>
      </c>
      <c r="G36" t="n">
        <v>1.004079220034344</v>
      </c>
      <c r="H36" t="n">
        <v>196</v>
      </c>
      <c r="I36" t="n">
        <v>0.0001796999999896798</v>
      </c>
      <c r="J36" t="n">
        <v>5.302680499999951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490795.0947886999</v>
      </c>
      <c r="G37" t="n">
        <v>1.001622642425918</v>
      </c>
      <c r="H37" t="n">
        <v>196</v>
      </c>
      <c r="I37" t="n">
        <v>0.00226169999996273</v>
      </c>
      <c r="J37" t="n">
        <v>5.302680499999951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</v>
      </c>
      <c r="R37" t="n">
        <v>1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490731.1557707777</v>
      </c>
      <c r="G38" t="n">
        <v>1.00149215463424</v>
      </c>
      <c r="H38" t="n">
        <v>196</v>
      </c>
      <c r="I38" t="n">
        <v>0.0001964999999017891</v>
      </c>
      <c r="J38" t="n">
        <v>5.302680499999951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1031090.172675546</v>
      </c>
      <c r="C2" t="n">
        <v>1032074.255459993</v>
      </c>
      <c r="D2" t="n">
        <v>1031221.88690824</v>
      </c>
      <c r="E2" t="n">
        <v>1031286.291444795</v>
      </c>
    </row>
    <row r="3">
      <c r="A3" t="n">
        <v>0.1</v>
      </c>
      <c r="B3" t="n">
        <v>1025027.743473941</v>
      </c>
      <c r="C3" t="n">
        <v>1028887.243231146</v>
      </c>
      <c r="D3" t="n">
        <v>1025544.569333619</v>
      </c>
      <c r="E3" t="n">
        <v>1025792.408595114</v>
      </c>
    </row>
    <row r="4">
      <c r="A4" t="n">
        <v>0.5</v>
      </c>
      <c r="B4" t="n">
        <v>905964.6524938049</v>
      </c>
      <c r="C4" t="n">
        <v>967012.663097441</v>
      </c>
      <c r="D4" t="n">
        <v>914369.0438185292</v>
      </c>
      <c r="E4" t="n">
        <v>916041.4453131445</v>
      </c>
    </row>
    <row r="5">
      <c r="A5" t="n">
        <v>1</v>
      </c>
      <c r="B5" t="n">
        <v>772061.3923024898</v>
      </c>
      <c r="C5" t="n">
        <v>855058.3544560658</v>
      </c>
      <c r="D5" t="n">
        <v>783592.5978963553</v>
      </c>
      <c r="E5" t="n">
        <v>781745.1870901368</v>
      </c>
    </row>
    <row r="6">
      <c r="A6" t="n">
        <v>2</v>
      </c>
      <c r="B6" t="n">
        <v>697178.8728550607</v>
      </c>
      <c r="C6" t="n">
        <v>734102.5968964151</v>
      </c>
      <c r="D6" t="n">
        <v>701975.7544888755</v>
      </c>
      <c r="E6" t="n">
        <v>700321.1355941611</v>
      </c>
    </row>
    <row r="7">
      <c r="A7" t="n">
        <v>5</v>
      </c>
      <c r="B7" t="n">
        <v>667655.1312802858</v>
      </c>
      <c r="C7" t="n">
        <v>672039.605586482</v>
      </c>
      <c r="D7" t="n">
        <v>668202.0854665835</v>
      </c>
      <c r="E7" t="n">
        <v>667967.8263886897</v>
      </c>
    </row>
    <row r="8">
      <c r="A8" t="n">
        <v>10</v>
      </c>
      <c r="B8" t="n">
        <v>648851.1958965978</v>
      </c>
      <c r="C8" t="n">
        <v>650272.048238875</v>
      </c>
      <c r="D8" t="n">
        <v>649067.9193155391</v>
      </c>
      <c r="E8" t="n">
        <v>649027.2590817248</v>
      </c>
    </row>
    <row r="9">
      <c r="A9" t="n">
        <v>20</v>
      </c>
      <c r="B9" t="n">
        <v>613684.9919674984</v>
      </c>
      <c r="C9" t="n">
        <v>615923.4170061913</v>
      </c>
      <c r="D9" t="n">
        <v>614010.8376477049</v>
      </c>
      <c r="E9" t="n">
        <v>614024.2922843229</v>
      </c>
    </row>
    <row r="10">
      <c r="A10" t="n">
        <v>50</v>
      </c>
      <c r="B10" t="n">
        <v>490638.6857010667</v>
      </c>
      <c r="C10" t="n">
        <v>491998.8178168287</v>
      </c>
      <c r="D10" t="n">
        <v>490795.0947886999</v>
      </c>
      <c r="E10" t="n">
        <v>490731.1557707777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1032197.014783243</v>
      </c>
      <c r="G2" t="n">
        <v>1.538281182843503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2026-03-18T22:47:28.421440+00:00</t>
        </is>
      </c>
    </row>
    <row r="3">
      <c r="A3" t="inlineStr">
        <is>
          <t>dem</t>
        </is>
      </c>
      <c r="B3" t="inlineStr">
        <is>
          <t>C:\d_surucusu\yuzey_alani_hesaplama\out_synth\synth_crater_field_16384x16384_dx0.05_seed0_20260317_214748.tif</t>
        </is>
      </c>
    </row>
    <row r="4">
      <c r="A4" t="inlineStr">
        <is>
          <t>dem_info.path</t>
        </is>
      </c>
      <c r="B4" t="inlineStr">
        <is>
          <t>C:\d_surucusu\yuzey_alani_hesaplama\out_synth\synth_crater_field_16384x16384_dx0.05_seed0_20260317_214748.tif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C:\d_surucusu\yuzey_alani_hesaplama\out_synth\synth_crater_field_16384x16384_dx0.05_seed0_20260317_214748.reference.json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1032197.014783243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9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50" ht="20" customHeight="1">
      <c r="A150" s="4" t="inlineStr">
        <is>
          <t>A3D vs GSD - kaynak veri</t>
        </is>
      </c>
    </row>
    <row r="151" ht="22" customHeight="1">
      <c r="A151" s="5" t="inlineStr">
        <is>
          <t>gsd_m</t>
        </is>
      </c>
      <c r="B151" s="5" t="inlineStr">
        <is>
          <t>gradient_multiplier</t>
        </is>
      </c>
      <c r="C151" s="5" t="inlineStr">
        <is>
          <t>jenness_window_8tri</t>
        </is>
      </c>
      <c r="D151" s="5" t="inlineStr">
        <is>
          <t>sector_adaptive_jenness_integral</t>
        </is>
      </c>
      <c r="E151" s="5" t="inlineStr">
        <is>
          <t>tin_2tri_cell</t>
        </is>
      </c>
      <c r="F151" s="5" t="inlineStr">
        <is>
          <t>Native-grid reference (per GSD)</t>
        </is>
      </c>
    </row>
    <row r="152">
      <c r="A152" s="6" t="n">
        <v>0.05</v>
      </c>
      <c r="B152" s="6" t="n">
        <v>1031090.172675546</v>
      </c>
      <c r="C152" s="6" t="n">
        <v>1032074.255459993</v>
      </c>
      <c r="D152" s="6" t="n">
        <v>1031221.88690824</v>
      </c>
      <c r="E152" s="6" t="n">
        <v>1031286.291444795</v>
      </c>
      <c r="F152" s="6" t="n">
        <v>1032197.014783243</v>
      </c>
    </row>
    <row r="153">
      <c r="A153" s="7" t="n">
        <v>0.1</v>
      </c>
      <c r="B153" s="7" t="n">
        <v>1025027.743473941</v>
      </c>
      <c r="C153" s="7" t="n">
        <v>1028887.243231146</v>
      </c>
      <c r="D153" s="7" t="n">
        <v>1025544.569333619</v>
      </c>
      <c r="E153" s="7" t="n">
        <v>1025792.408595114</v>
      </c>
      <c r="F153" s="8" t="n"/>
    </row>
    <row r="154">
      <c r="A154" s="6" t="n">
        <v>0.5</v>
      </c>
      <c r="B154" s="6" t="n">
        <v>905964.6524938049</v>
      </c>
      <c r="C154" s="6" t="n">
        <v>967012.663097441</v>
      </c>
      <c r="D154" s="6" t="n">
        <v>914369.0438185292</v>
      </c>
      <c r="E154" s="6" t="n">
        <v>916041.4453131445</v>
      </c>
      <c r="F154" s="9" t="n"/>
    </row>
    <row r="155">
      <c r="A155" s="7" t="n">
        <v>1</v>
      </c>
      <c r="B155" s="7" t="n">
        <v>772061.3923024898</v>
      </c>
      <c r="C155" s="7" t="n">
        <v>855058.3544560658</v>
      </c>
      <c r="D155" s="7" t="n">
        <v>783592.5978963553</v>
      </c>
      <c r="E155" s="7" t="n">
        <v>781745.1870901368</v>
      </c>
      <c r="F155" s="8" t="n"/>
    </row>
    <row r="156">
      <c r="A156" s="6" t="n">
        <v>2</v>
      </c>
      <c r="B156" s="6" t="n">
        <v>697178.8728550607</v>
      </c>
      <c r="C156" s="6" t="n">
        <v>734102.5968964151</v>
      </c>
      <c r="D156" s="6" t="n">
        <v>701975.7544888755</v>
      </c>
      <c r="E156" s="6" t="n">
        <v>700321.1355941611</v>
      </c>
      <c r="F156" s="9" t="n"/>
    </row>
    <row r="157">
      <c r="A157" s="7" t="n">
        <v>5</v>
      </c>
      <c r="B157" s="7" t="n">
        <v>667655.1312802858</v>
      </c>
      <c r="C157" s="7" t="n">
        <v>672039.605586482</v>
      </c>
      <c r="D157" s="7" t="n">
        <v>668202.0854665835</v>
      </c>
      <c r="E157" s="7" t="n">
        <v>667967.8263886897</v>
      </c>
      <c r="F157" s="8" t="n"/>
    </row>
    <row r="158">
      <c r="A158" s="6" t="n">
        <v>10</v>
      </c>
      <c r="B158" s="6" t="n">
        <v>648851.1958965978</v>
      </c>
      <c r="C158" s="6" t="n">
        <v>650272.048238875</v>
      </c>
      <c r="D158" s="6" t="n">
        <v>649067.9193155391</v>
      </c>
      <c r="E158" s="6" t="n">
        <v>649027.2590817248</v>
      </c>
      <c r="F158" s="9" t="n"/>
    </row>
    <row r="159">
      <c r="A159" s="7" t="n">
        <v>20</v>
      </c>
      <c r="B159" s="7" t="n">
        <v>613684.9919674984</v>
      </c>
      <c r="C159" s="7" t="n">
        <v>615923.4170061913</v>
      </c>
      <c r="D159" s="7" t="n">
        <v>614010.8376477049</v>
      </c>
      <c r="E159" s="7" t="n">
        <v>614024.2922843229</v>
      </c>
      <c r="F159" s="8" t="n"/>
    </row>
    <row r="160">
      <c r="A160" s="6" t="n">
        <v>50</v>
      </c>
      <c r="B160" s="6" t="n">
        <v>490638.6857010667</v>
      </c>
      <c r="C160" s="6" t="n">
        <v>491998.8178168287</v>
      </c>
      <c r="D160" s="6" t="n">
        <v>490795.0947886999</v>
      </c>
      <c r="E160" s="6" t="n">
        <v>490731.1557707777</v>
      </c>
      <c r="F160" s="9" t="n"/>
    </row>
    <row r="163" ht="20" customHeight="1">
      <c r="A163" s="4" t="inlineStr">
        <is>
          <t>A3D/A2D Ratio vs GSD - kaynak veri</t>
        </is>
      </c>
    </row>
    <row r="164" ht="22" customHeight="1">
      <c r="A164" s="5" t="inlineStr">
        <is>
          <t>gsd_m</t>
        </is>
      </c>
      <c r="B164" s="5" t="inlineStr">
        <is>
          <t>gradient_multiplier</t>
        </is>
      </c>
      <c r="C164" s="5" t="inlineStr">
        <is>
          <t>jenness_window_8tri</t>
        </is>
      </c>
      <c r="D164" s="5" t="inlineStr">
        <is>
          <t>sector_adaptive_jenness_integral</t>
        </is>
      </c>
      <c r="E164" s="5" t="inlineStr">
        <is>
          <t>tin_2tri_cell</t>
        </is>
      </c>
      <c r="F164" s="5" t="inlineStr">
        <is>
          <t>Native-grid reference (per GSD)</t>
        </is>
      </c>
    </row>
    <row r="165">
      <c r="A165" s="6" t="n">
        <v>0.05</v>
      </c>
      <c r="B165" s="6" t="n">
        <v>1.536819263958276</v>
      </c>
      <c r="C165" s="6" t="n">
        <v>1.538286019650984</v>
      </c>
      <c r="D165" s="6" t="n">
        <v>1.5370155813857</v>
      </c>
      <c r="E165" s="6" t="n">
        <v>1.537111575058306</v>
      </c>
      <c r="F165" s="6" t="n">
        <v>1.538281182843503</v>
      </c>
    </row>
    <row r="166">
      <c r="A166" s="7" t="n">
        <v>0.1</v>
      </c>
      <c r="B166" s="7" t="n">
        <v>1.52815644241979</v>
      </c>
      <c r="C166" s="7" t="n">
        <v>1.53391035440514</v>
      </c>
      <c r="D166" s="7" t="n">
        <v>1.528926949142271</v>
      </c>
      <c r="E166" s="7" t="n">
        <v>1.529296438813696</v>
      </c>
      <c r="F166" s="8" t="n"/>
    </row>
    <row r="167">
      <c r="A167" s="6" t="n">
        <v>0.5</v>
      </c>
      <c r="B167" s="6" t="n">
        <v>1.353956295834262</v>
      </c>
      <c r="C167" s="6" t="n">
        <v>1.445192016871971</v>
      </c>
      <c r="D167" s="6" t="n">
        <v>1.366516585593297</v>
      </c>
      <c r="E167" s="6" t="n">
        <v>1.369015975085551</v>
      </c>
      <c r="F167" s="9" t="n"/>
    </row>
    <row r="168">
      <c r="A168" s="7" t="n">
        <v>1</v>
      </c>
      <c r="B168" s="7" t="n">
        <v>1.15666534175468</v>
      </c>
      <c r="C168" s="7" t="n">
        <v>1.281007409045042</v>
      </c>
      <c r="D168" s="7" t="n">
        <v>1.173940840817385</v>
      </c>
      <c r="E168" s="7" t="n">
        <v>1.171173138568781</v>
      </c>
      <c r="F168" s="8" t="n"/>
    </row>
    <row r="169">
      <c r="A169" s="6" t="n">
        <v>2</v>
      </c>
      <c r="B169" s="6" t="n">
        <v>1.047041511760892</v>
      </c>
      <c r="C169" s="6" t="n">
        <v>1.102494528691512</v>
      </c>
      <c r="D169" s="6" t="n">
        <v>1.054245594376074</v>
      </c>
      <c r="E169" s="6" t="n">
        <v>1.051760644334753</v>
      </c>
      <c r="F169" s="9" t="n"/>
    </row>
    <row r="170">
      <c r="A170" s="7" t="n">
        <v>5</v>
      </c>
      <c r="B170" s="7" t="n">
        <v>1.017611844658262</v>
      </c>
      <c r="C170" s="7" t="n">
        <v>1.024294475821494</v>
      </c>
      <c r="D170" s="7" t="n">
        <v>1.018445489203755</v>
      </c>
      <c r="E170" s="7" t="n">
        <v>1.01808844137889</v>
      </c>
      <c r="F170" s="8" t="n"/>
    </row>
    <row r="171">
      <c r="A171" s="6" t="n">
        <v>10</v>
      </c>
      <c r="B171" s="6" t="n">
        <v>1.013829993588434</v>
      </c>
      <c r="C171" s="6" t="n">
        <v>1.016050075373242</v>
      </c>
      <c r="D171" s="6" t="n">
        <v>1.01416862393053</v>
      </c>
      <c r="E171" s="6" t="n">
        <v>1.014105092315195</v>
      </c>
      <c r="F171" s="9" t="n"/>
    </row>
    <row r="172">
      <c r="A172" s="7" t="n">
        <v>20</v>
      </c>
      <c r="B172" s="7" t="n">
        <v>1.008686706060977</v>
      </c>
      <c r="C172" s="7" t="n">
        <v>1.012365905664351</v>
      </c>
      <c r="D172" s="7" t="n">
        <v>1.009222284102079</v>
      </c>
      <c r="E172" s="7" t="n">
        <v>1.00924439888942</v>
      </c>
      <c r="F172" s="8" t="n"/>
    </row>
    <row r="173">
      <c r="A173" s="6" t="n">
        <v>50</v>
      </c>
      <c r="B173" s="6" t="n">
        <v>1.001303440206259</v>
      </c>
      <c r="C173" s="6" t="n">
        <v>1.004079220034344</v>
      </c>
      <c r="D173" s="6" t="n">
        <v>1.001622642425918</v>
      </c>
      <c r="E173" s="6" t="n">
        <v>1.00149215463424</v>
      </c>
      <c r="F173" s="9" t="n"/>
    </row>
    <row r="176" ht="20" customHeight="1">
      <c r="A176" s="4" t="inlineStr">
        <is>
          <t>Surface Excess vs GSD - kaynak veri</t>
        </is>
      </c>
    </row>
    <row r="177" ht="22" customHeight="1">
      <c r="A177" s="5" t="inlineStr">
        <is>
          <t>gsd_m</t>
        </is>
      </c>
      <c r="B177" s="5" t="inlineStr">
        <is>
          <t>gradient_multiplier</t>
        </is>
      </c>
      <c r="C177" s="5" t="inlineStr">
        <is>
          <t>jenness_window_8tri</t>
        </is>
      </c>
      <c r="D177" s="5" t="inlineStr">
        <is>
          <t>sector_adaptive_jenness_integral</t>
        </is>
      </c>
      <c r="E177" s="5" t="inlineStr">
        <is>
          <t>tin_2tri_cell</t>
        </is>
      </c>
      <c r="F177" s="5" t="inlineStr">
        <is>
          <t>Native-grid reference (per GSD)</t>
        </is>
      </c>
    </row>
    <row r="178">
      <c r="A178" s="6" t="n">
        <v>0.05</v>
      </c>
      <c r="B178" s="6" t="n">
        <v>53.68192639582763</v>
      </c>
      <c r="C178" s="6" t="n">
        <v>53.82860196509844</v>
      </c>
      <c r="D178" s="6" t="n">
        <v>53.70155813857001</v>
      </c>
      <c r="E178" s="6" t="n">
        <v>53.71115750583058</v>
      </c>
      <c r="F178" s="6" t="n">
        <v>53.82811828435035</v>
      </c>
    </row>
    <row r="179">
      <c r="A179" s="7" t="n">
        <v>0.1</v>
      </c>
      <c r="B179" s="7" t="n">
        <v>52.81564424197902</v>
      </c>
      <c r="C179" s="7" t="n">
        <v>53.39103544051405</v>
      </c>
      <c r="D179" s="7" t="n">
        <v>52.89269491422714</v>
      </c>
      <c r="E179" s="7" t="n">
        <v>52.9296438813696</v>
      </c>
      <c r="F179" s="8" t="n"/>
    </row>
    <row r="180">
      <c r="A180" s="6" t="n">
        <v>0.5</v>
      </c>
      <c r="B180" s="6" t="n">
        <v>35.39562958342623</v>
      </c>
      <c r="C180" s="6" t="n">
        <v>44.51920168719714</v>
      </c>
      <c r="D180" s="6" t="n">
        <v>36.6516585593297</v>
      </c>
      <c r="E180" s="6" t="n">
        <v>36.90159750855513</v>
      </c>
      <c r="F180" s="9" t="n"/>
    </row>
    <row r="181">
      <c r="A181" s="7" t="n">
        <v>1</v>
      </c>
      <c r="B181" s="7" t="n">
        <v>15.66653417546804</v>
      </c>
      <c r="C181" s="7" t="n">
        <v>28.10074090450416</v>
      </c>
      <c r="D181" s="7" t="n">
        <v>17.39408408173848</v>
      </c>
      <c r="E181" s="7" t="n">
        <v>17.11731385687807</v>
      </c>
      <c r="F181" s="8" t="n"/>
    </row>
    <row r="182">
      <c r="A182" s="6" t="n">
        <v>2</v>
      </c>
      <c r="B182" s="6" t="n">
        <v>4.704151176089244</v>
      </c>
      <c r="C182" s="6" t="n">
        <v>10.24945286915115</v>
      </c>
      <c r="D182" s="6" t="n">
        <v>5.424559437607446</v>
      </c>
      <c r="E182" s="6" t="n">
        <v>5.176064433475269</v>
      </c>
      <c r="F182" s="9" t="n"/>
    </row>
    <row r="183">
      <c r="A183" s="7" t="n">
        <v>5</v>
      </c>
      <c r="B183" s="7" t="n">
        <v>1.761184465826204</v>
      </c>
      <c r="C183" s="7" t="n">
        <v>2.429447582149358</v>
      </c>
      <c r="D183" s="7" t="n">
        <v>1.844548920375466</v>
      </c>
      <c r="E183" s="7" t="n">
        <v>1.808844137888999</v>
      </c>
      <c r="F183" s="8" t="n"/>
    </row>
    <row r="184">
      <c r="A184" s="6" t="n">
        <v>10</v>
      </c>
      <c r="B184" s="6" t="n">
        <v>1.382999358843406</v>
      </c>
      <c r="C184" s="6" t="n">
        <v>1.605007537324221</v>
      </c>
      <c r="D184" s="6" t="n">
        <v>1.416862393052987</v>
      </c>
      <c r="E184" s="6" t="n">
        <v>1.410509231519508</v>
      </c>
      <c r="F184" s="9" t="n"/>
    </row>
    <row r="185">
      <c r="A185" s="7" t="n">
        <v>20</v>
      </c>
      <c r="B185" s="7" t="n">
        <v>0.868670606097699</v>
      </c>
      <c r="C185" s="7" t="n">
        <v>1.236590566435125</v>
      </c>
      <c r="D185" s="7" t="n">
        <v>0.9222284102079037</v>
      </c>
      <c r="E185" s="7" t="n">
        <v>0.9244398889419525</v>
      </c>
      <c r="F185" s="8" t="n"/>
    </row>
    <row r="186">
      <c r="A186" s="6" t="n">
        <v>50</v>
      </c>
      <c r="B186" s="6" t="n">
        <v>0.130344020625861</v>
      </c>
      <c r="C186" s="6" t="n">
        <v>0.4079220034344244</v>
      </c>
      <c r="D186" s="6" t="n">
        <v>0.1622642425918253</v>
      </c>
      <c r="E186" s="6" t="n">
        <v>0.1492154634240128</v>
      </c>
      <c r="F186" s="9" t="n"/>
    </row>
    <row r="189" ht="20" customHeight="1">
      <c r="A189" s="4" t="inlineStr">
        <is>
          <t>Relative Error vs GSD (Native-grid Reference) - kaynak veri</t>
        </is>
      </c>
    </row>
    <row r="190" ht="22" customHeight="1">
      <c r="A190" s="5" t="inlineStr">
        <is>
          <t>gsd_m</t>
        </is>
      </c>
      <c r="B190" s="5" t="inlineStr">
        <is>
          <t>gradient_multiplier</t>
        </is>
      </c>
      <c r="C190" s="5" t="inlineStr">
        <is>
          <t>jenness_window_8tri</t>
        </is>
      </c>
      <c r="D190" s="5" t="inlineStr">
        <is>
          <t>sector_adaptive_jenness_integral</t>
        </is>
      </c>
      <c r="E190" s="5" t="inlineStr">
        <is>
          <t>tin_2tri_cell</t>
        </is>
      </c>
    </row>
    <row r="191">
      <c r="A191" s="6" t="n">
        <v>0.05</v>
      </c>
      <c r="B191" s="6" t="n">
        <v>-0.001072316710709204</v>
      </c>
      <c r="C191" s="6" t="n">
        <v>-0.0001189301281551856</v>
      </c>
      <c r="D191" s="6" t="n">
        <v>-0.0009447110009390896</v>
      </c>
      <c r="E191" s="6" t="n">
        <v>-0.0008823154159570414</v>
      </c>
    </row>
    <row r="194" ht="20" customHeight="1">
      <c r="A194" s="4" t="inlineStr">
        <is>
          <t>Runtime vs GSD - kaynak veri</t>
        </is>
      </c>
    </row>
    <row r="195" ht="22" customHeight="1">
      <c r="A195" s="5" t="inlineStr">
        <is>
          <t>gsd_m</t>
        </is>
      </c>
      <c r="B195" s="5" t="inlineStr">
        <is>
          <t>gradient_multiplier</t>
        </is>
      </c>
      <c r="C195" s="5" t="inlineStr">
        <is>
          <t>jenness_window_8tri</t>
        </is>
      </c>
      <c r="D195" s="5" t="inlineStr">
        <is>
          <t>sector_adaptive_jenness_integral</t>
        </is>
      </c>
      <c r="E195" s="5" t="inlineStr">
        <is>
          <t>tin_2tri_cell</t>
        </is>
      </c>
    </row>
    <row r="196">
      <c r="A196" s="6" t="n">
        <v>0.05</v>
      </c>
      <c r="B196" s="6" t="n">
        <v>5.517844799998784</v>
      </c>
      <c r="C196" s="6" t="n">
        <v>57.71823479999966</v>
      </c>
      <c r="D196" s="6" t="n">
        <v>2119.3942546</v>
      </c>
      <c r="E196" s="6" t="n">
        <v>14.94565190000162</v>
      </c>
    </row>
    <row r="197">
      <c r="A197" s="7" t="n">
        <v>0.1</v>
      </c>
      <c r="B197" s="7" t="n">
        <v>7.645537100006322</v>
      </c>
      <c r="C197" s="7" t="n">
        <v>20.74549039999647</v>
      </c>
      <c r="D197" s="7" t="n">
        <v>528.3568896999927</v>
      </c>
      <c r="E197" s="7" t="n">
        <v>9.68125349999741</v>
      </c>
    </row>
    <row r="198">
      <c r="A198" s="6" t="n">
        <v>0.5</v>
      </c>
      <c r="B198" s="6" t="n">
        <v>3.655213300000241</v>
      </c>
      <c r="C198" s="6" t="n">
        <v>4.069785099999535</v>
      </c>
      <c r="D198" s="6" t="n">
        <v>26.20566410000015</v>
      </c>
      <c r="E198" s="6" t="n">
        <v>3.727320000000645</v>
      </c>
    </row>
    <row r="199">
      <c r="A199" s="7" t="n">
        <v>1</v>
      </c>
      <c r="B199" s="7" t="n">
        <v>3.76607349999972</v>
      </c>
      <c r="C199" s="7" t="n">
        <v>3.858075000000326</v>
      </c>
      <c r="D199" s="7" t="n">
        <v>10.47020799999927</v>
      </c>
      <c r="E199" s="7" t="n">
        <v>3.776807299999518</v>
      </c>
    </row>
    <row r="200">
      <c r="A200" s="6" t="n">
        <v>2</v>
      </c>
      <c r="B200" s="6" t="n">
        <v>3.512847500000134</v>
      </c>
      <c r="C200" s="6" t="n">
        <v>3.528841499999999</v>
      </c>
      <c r="D200" s="6" t="n">
        <v>4.656104000000141</v>
      </c>
      <c r="E200" s="6" t="n">
        <v>3.515192300000308</v>
      </c>
    </row>
    <row r="201">
      <c r="A201" s="7" t="n">
        <v>5</v>
      </c>
      <c r="B201" s="7" t="n">
        <v>3.642678300000171</v>
      </c>
      <c r="C201" s="7" t="n">
        <v>3.64539539999987</v>
      </c>
      <c r="D201" s="7" t="n">
        <v>3.716369500000155</v>
      </c>
      <c r="E201" s="7" t="n">
        <v>3.643407600000046</v>
      </c>
    </row>
    <row r="202">
      <c r="A202" s="6" t="n">
        <v>10</v>
      </c>
      <c r="B202" s="6" t="n">
        <v>3.650873199999978</v>
      </c>
      <c r="C202" s="6" t="n">
        <v>3.651508799999874</v>
      </c>
      <c r="D202" s="6" t="n">
        <v>3.670891099999835</v>
      </c>
      <c r="E202" s="6" t="n">
        <v>3.651137000000062</v>
      </c>
    </row>
    <row r="203">
      <c r="A203" s="7" t="n">
        <v>20</v>
      </c>
      <c r="B203" s="7" t="n">
        <v>3.837538500000164</v>
      </c>
      <c r="C203" s="7" t="n">
        <v>3.837861700000303</v>
      </c>
      <c r="D203" s="7" t="n">
        <v>3.843623600000001</v>
      </c>
      <c r="E203" s="7" t="n">
        <v>3.837767100000065</v>
      </c>
    </row>
    <row r="204">
      <c r="A204" s="6" t="n">
        <v>50</v>
      </c>
      <c r="B204" s="6" t="n">
        <v>5.302737900000011</v>
      </c>
      <c r="C204" s="6" t="n">
        <v>5.302860199999941</v>
      </c>
      <c r="D204" s="6" t="n">
        <v>5.304942199999914</v>
      </c>
      <c r="E204" s="6" t="n">
        <v>5.302876999999853</v>
      </c>
    </row>
    <row r="207" ht="20" customHeight="1">
      <c r="A207" s="4" t="inlineStr">
        <is>
          <t>Error vs Runtime - kaynak veri</t>
        </is>
      </c>
    </row>
    <row r="208" ht="22" customHeight="1">
      <c r="A208" s="5" t="inlineStr">
        <is>
          <t>gradient_multiplier runtime (s)</t>
        </is>
      </c>
      <c r="B208" s="5" t="inlineStr">
        <is>
          <t>gradient_multiplier</t>
        </is>
      </c>
      <c r="C208" s="5" t="inlineStr">
        <is>
          <t>jenness_window_8tri runtime (s)</t>
        </is>
      </c>
      <c r="D208" s="5" t="inlineStr">
        <is>
          <t>jenness_window_8tri</t>
        </is>
      </c>
      <c r="E208" s="5" t="inlineStr">
        <is>
          <t>sector_adaptive_jenness_integral runtime (s)</t>
        </is>
      </c>
      <c r="F208" s="5" t="inlineStr">
        <is>
          <t>sector_adaptive_jenness_integral</t>
        </is>
      </c>
      <c r="G208" s="5" t="inlineStr">
        <is>
          <t>tin_2tri_cell runtime (s)</t>
        </is>
      </c>
      <c r="H208" s="5" t="inlineStr">
        <is>
          <t>tin_2tri_cell</t>
        </is>
      </c>
    </row>
    <row r="209">
      <c r="A209" s="6" t="n">
        <v>5.517844799998784</v>
      </c>
      <c r="B209" s="6" t="n">
        <v>0.001072316710709204</v>
      </c>
      <c r="C209" s="6" t="n">
        <v>57.71823479999966</v>
      </c>
      <c r="D209" s="6" t="n">
        <v>0.0001189301281551856</v>
      </c>
      <c r="E209" s="6" t="n">
        <v>2119.3942546</v>
      </c>
      <c r="F209" s="6" t="n">
        <v>0.0009447110009390896</v>
      </c>
      <c r="G209" s="6" t="n">
        <v>14.94565190000162</v>
      </c>
      <c r="H209" s="6" t="n">
        <v>0.0008823154159570414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6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2026-03-18T22:54:11Z</dcterms:created>
  <dcterms:modified xsi:type="dcterms:W3CDTF">2026-03-18T22:54:11Z</dcterms:modified>
</cp:coreProperties>
</file>