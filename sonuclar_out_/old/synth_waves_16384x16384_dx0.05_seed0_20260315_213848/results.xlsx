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long" sheetId="1" state="visible" r:id="rId1"/>
    <sheet name="results_wide" sheetId="2" state="visible" r:id="rId2"/>
    <sheet name="reference_summary" sheetId="3" state="visible" r:id="rId3"/>
    <sheet name="run_info" sheetId="4" state="visible" r:id="rId4"/>
    <sheet name="grafikl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1F1F"/>
      <sz val="11"/>
    </font>
    <font>
      <color rgb="003C4858"/>
      <sz val="10"/>
    </font>
    <font>
      <b val="1"/>
      <color rgb="001F1F1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CE6F1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'grafikler'!B151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'grafikler'!$B$152:$B$160</f>
            </numRef>
          </yVal>
        </ser>
        <ser>
          <idx val="1"/>
          <order val="1"/>
          <tx>
            <strRef>
              <f>'grafikler'!C151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'grafikler'!$C$152:$C$160</f>
            </numRef>
          </yVal>
        </ser>
        <ser>
          <idx val="2"/>
          <order val="2"/>
          <tx>
            <strRef>
              <f>'grafikler'!D151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'grafikler'!$D$152:$D$160</f>
            </numRef>
          </yVal>
        </ser>
        <ser>
          <idx val="3"/>
          <order val="3"/>
          <tx>
            <strRef>
              <f>'grafikler'!E151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'grafikler'!$E$152:$E$160</f>
            </numRef>
          </yVal>
        </ser>
        <ser>
          <idx val="4"/>
          <order val="4"/>
          <tx>
            <strRef>
              <f>'grafikler'!F151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'grafikler'!$F$152:$F$160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(m^2)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A3D/A2D Ratio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'grafikler'!B164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'grafikler'!$B$165:$B$173</f>
            </numRef>
          </yVal>
        </ser>
        <ser>
          <idx val="1"/>
          <order val="1"/>
          <tx>
            <strRef>
              <f>'grafikler'!C164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'grafikler'!$C$165:$C$173</f>
            </numRef>
          </yVal>
        </ser>
        <ser>
          <idx val="2"/>
          <order val="2"/>
          <tx>
            <strRef>
              <f>'grafikler'!D164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'grafikler'!$D$165:$D$173</f>
            </numRef>
          </yVal>
        </ser>
        <ser>
          <idx val="3"/>
          <order val="3"/>
          <tx>
            <strRef>
              <f>'grafikler'!E164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'grafikler'!$E$165:$E$173</f>
            </numRef>
          </yVal>
        </ser>
        <ser>
          <idx val="4"/>
          <order val="4"/>
          <tx>
            <strRef>
              <f>'grafikler'!F164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'grafikler'!$F$165:$F$173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/ A2D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Surface Excess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'grafikler'!B177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'grafikler'!$B$178:$B$186</f>
            </numRef>
          </yVal>
        </ser>
        <ser>
          <idx val="1"/>
          <order val="1"/>
          <tx>
            <strRef>
              <f>'grafikler'!C177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'grafikler'!$C$178:$C$186</f>
            </numRef>
          </yVal>
        </ser>
        <ser>
          <idx val="2"/>
          <order val="2"/>
          <tx>
            <strRef>
              <f>'grafikler'!D177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'grafikler'!$D$178:$D$186</f>
            </numRef>
          </yVal>
        </ser>
        <ser>
          <idx val="3"/>
          <order val="3"/>
          <tx>
            <strRef>
              <f>'grafikler'!E177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'grafikler'!$E$178:$E$186</f>
            </numRef>
          </yVal>
        </ser>
        <ser>
          <idx val="4"/>
          <order val="4"/>
          <tx>
            <strRef>
              <f>'grafikler'!F177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'grafikler'!$F$178:$F$186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(A3D / A2D - 1) (%)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Relative Error vs GSD (Native-grid Reference)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'grafikler'!B190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'grafikler'!$B$191</f>
            </numRef>
          </yVal>
        </ser>
        <ser>
          <idx val="1"/>
          <order val="1"/>
          <tx>
            <strRef>
              <f>'grafikler'!C190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'grafikler'!$C$191</f>
            </numRef>
          </yVal>
        </ser>
        <ser>
          <idx val="2"/>
          <order val="2"/>
          <tx>
            <strRef>
              <f>'grafikler'!D190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'grafikler'!$D$191</f>
            </numRef>
          </yVal>
        </ser>
        <ser>
          <idx val="3"/>
          <order val="3"/>
          <tx>
            <strRef>
              <f>'grafikler'!E190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'grafikler'!$E$191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Relative error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Runtime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'grafikler'!B195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'grafikler'!$B$196:$B$204</f>
            </numRef>
          </yVal>
        </ser>
        <ser>
          <idx val="1"/>
          <order val="1"/>
          <tx>
            <strRef>
              <f>'grafikler'!C195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'grafikler'!$C$196:$C$204</f>
            </numRef>
          </yVal>
        </ser>
        <ser>
          <idx val="2"/>
          <order val="2"/>
          <tx>
            <strRef>
              <f>'grafikler'!D195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'grafikler'!$D$196:$D$204</f>
            </numRef>
          </yVal>
        </ser>
        <ser>
          <idx val="3"/>
          <order val="3"/>
          <tx>
            <strRef>
              <f>'grafikler'!E195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'grafikler'!$E$196:$E$204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Error vs Runtime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'grafikler'!B208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'grafikler'!$A$209</f>
            </numRef>
          </xVal>
          <yVal>
            <numRef>
              <f>'grafikler'!$B$209</f>
            </numRef>
          </yVal>
        </ser>
        <ser>
          <idx val="1"/>
          <order val="1"/>
          <tx>
            <strRef>
              <f>'grafikler'!D208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'grafikler'!$C$209</f>
            </numRef>
          </xVal>
          <yVal>
            <numRef>
              <f>'grafikler'!$D$209</f>
            </numRef>
          </yVal>
        </ser>
        <ser>
          <idx val="2"/>
          <order val="2"/>
          <tx>
            <strRef>
              <f>'grafikler'!F208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'grafikler'!$E$209</f>
            </numRef>
          </xVal>
          <yVal>
            <numRef>
              <f>'grafikler'!$F$209</f>
            </numRef>
          </yVal>
        </ser>
        <ser>
          <idx val="3"/>
          <order val="3"/>
          <tx>
            <strRef>
              <f>'grafikler'!H208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'grafikler'!$G$209</f>
            </numRef>
          </xVal>
          <yVal>
            <numRef>
              <f>'grafikler'!$H$209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|Relative error vs native-grid ref|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7560000" cy="41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28</row>
      <rowOff>0</rowOff>
    </from>
    <ext cx="7560000" cy="41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51</row>
      <rowOff>0</rowOff>
    </from>
    <ext cx="7560000" cy="41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74</row>
      <rowOff>0</rowOff>
    </from>
    <ext cx="7560000" cy="41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97</row>
      <rowOff>0</rowOff>
    </from>
    <ext cx="7560000" cy="41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120</row>
      <rowOff>0</rowOff>
    </from>
    <ext cx="7560000" cy="41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sultsLongTable" displayName="ResultsLongTable" ref="A1:S38" headerRowCount="1">
  <autoFilter ref="A1:S38"/>
  <tableColumns count="19">
    <tableColumn id="1" name="gsd_m"/>
    <tableColumn id="2" name="dx"/>
    <tableColumn id="3" name="dy"/>
    <tableColumn id="4" name="method"/>
    <tableColumn id="5" name="A2D"/>
    <tableColumn id="6" name="A3D"/>
    <tableColumn id="7" name="ratio"/>
    <tableColumn id="8" name="valid_cells"/>
    <tableColumn id="9" name="runtime_sec"/>
    <tableColumn id="10" name="resample_runtime_sec"/>
    <tableColumn id="11" name="note"/>
    <tableColumn id="12" name="synthetic_native_ref_A2D"/>
    <tableColumn id="13" name="synthetic_native_ref_A3D"/>
    <tableColumn id="14" name="synthetic_native_ref_ratio"/>
    <tableColumn id="15" name="A3D_synthetic_native_ref_diff"/>
    <tableColumn id="16" name="A3D_synthetic_native_ref_rel_err"/>
    <tableColumn id="17" name="sector_jenness_avg_level"/>
    <tableColumn id="18" name="sector_jenness_max_level_used"/>
    <tableColumn id="19" name="sector_jenness_refined_fra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sultsWideTable" displayName="ResultsWideTable" ref="A1:E10" headerRowCount="1">
  <autoFilter ref="A1:E10"/>
  <tableColumns count="5">
    <tableColumn id="1" name="gsd_m"/>
    <tableColumn id="2" name="gradient_multiplier_A3D"/>
    <tableColumn id="3" name="jenness_window_8tri_A3D"/>
    <tableColumn id="4" name="sector_adaptive_jenness_integral_A3D"/>
    <tableColumn id="5" name="tin_2tri_cell_A3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ferenceSummaryTable" displayName="ReferenceSummaryTable" ref="A1:H2" headerRowCount="1">
  <autoFilter ref="A1:H2"/>
  <tableColumns count="8">
    <tableColumn id="1" name="reference_kind"/>
    <tableColumn id="2" name="gsd_m"/>
    <tableColumn id="3" name="dx"/>
    <tableColumn id="4" name="dy"/>
    <tableColumn id="5" name="reference_A2D"/>
    <tableColumn id="6" name="reference_A3D"/>
    <tableColumn id="7" name="reference_ratio"/>
    <tableColumn id="8" name="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unInfoTable" displayName="RunInfoTable" ref="A1:B55" headerRowCount="1">
  <autoFilter ref="A1:B55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3D_vs_GSD___kaynak_veri_150" displayName="A3D_vs_GSD___kaynak_veri_150" ref="A151:F160" headerRowCount="1">
  <autoFilter ref="A151:F160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3D_A2D_Ratio_vs_GSD___kaynak_veri_163" displayName="A3D_A2D_Ratio_vs_GSD___kaynak_veri_163" ref="A164:F173" headerRowCount="1">
  <autoFilter ref="A164:F173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urface_Excess_vs_GSD___kaynak_veri_176" displayName="Surface_Excess_vs_GSD___kaynak_veri_176" ref="A177:F186" headerRowCount="1">
  <autoFilter ref="A177:F186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elative_Error_vs_GSD__Native_grid_Reference____kaynak_veri_189" displayName="Relative_Error_vs_GSD__Native_grid_Reference____kaynak_veri_189" ref="A190:E191" headerRowCount="1">
  <autoFilter ref="A190:E191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Runtime_vs_GSD___kaynak_veri_194" displayName="Runtime_vs_GSD___kaynak_veri_194" ref="A195:E204" headerRowCount="1">
  <autoFilter ref="A195:E204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Error_vs_Runtime___kaynak_veri_207" displayName="Error_vs_Runtime___kaynak_veri_207" ref="A208:H209" headerRowCount="1">
  <autoFilter ref="A208:H209"/>
  <tableColumns count="8">
    <tableColumn id="1" name="gradient_multiplier runtime (s)"/>
    <tableColumn id="2" name="gradient_multiplier"/>
    <tableColumn id="3" name="jenness_window_8tri runtime (s)"/>
    <tableColumn id="4" name="jenness_window_8tri"/>
    <tableColumn id="5" name="sector_adaptive_jenness_integral runtime (s)"/>
    <tableColumn id="6" name="sector_adaptive_jenness_integral"/>
    <tableColumn id="7" name="tin_2tri_cell runtime (s)"/>
    <tableColumn id="8" name="tin_2tri_cel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5.xml" Id="rId2" /><Relationship Type="http://schemas.openxmlformats.org/officeDocument/2006/relationships/table" Target="/xl/tables/table6.xml" Id="rId3" /><Relationship Type="http://schemas.openxmlformats.org/officeDocument/2006/relationships/table" Target="/xl/tables/table7.xml" Id="rId4" /><Relationship Type="http://schemas.openxmlformats.org/officeDocument/2006/relationships/table" Target="/xl/tables/table8.xml" Id="rId5" /><Relationship Type="http://schemas.openxmlformats.org/officeDocument/2006/relationships/table" Target="/xl/tables/table9.xml" Id="rId6" /><Relationship Type="http://schemas.openxmlformats.org/officeDocument/2006/relationships/table" Target="/xl/tables/table10.xm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dx</t>
        </is>
      </c>
      <c r="C1" t="inlineStr">
        <is>
          <t>dy</t>
        </is>
      </c>
      <c r="D1" t="inlineStr">
        <is>
          <t>method</t>
        </is>
      </c>
      <c r="E1" t="inlineStr">
        <is>
          <t>A2D</t>
        </is>
      </c>
      <c r="F1" t="inlineStr">
        <is>
          <t>A3D</t>
        </is>
      </c>
      <c r="G1" t="inlineStr">
        <is>
          <t>ratio</t>
        </is>
      </c>
      <c r="H1" t="inlineStr">
        <is>
          <t>valid_cells</t>
        </is>
      </c>
      <c r="I1" t="inlineStr">
        <is>
          <t>runtime_sec</t>
        </is>
      </c>
      <c r="J1" t="inlineStr">
        <is>
          <t>resample_runtime_sec</t>
        </is>
      </c>
      <c r="K1" t="inlineStr">
        <is>
          <t>note</t>
        </is>
      </c>
      <c r="L1" t="inlineStr">
        <is>
          <t>synthetic_native_ref_A2D</t>
        </is>
      </c>
      <c r="M1" t="inlineStr">
        <is>
          <t>synthetic_native_ref_A3D</t>
        </is>
      </c>
      <c r="N1" t="inlineStr">
        <is>
          <t>synthetic_native_ref_ratio</t>
        </is>
      </c>
      <c r="O1" t="inlineStr">
        <is>
          <t>A3D_synthetic_native_ref_diff</t>
        </is>
      </c>
      <c r="P1" t="inlineStr">
        <is>
          <t>A3D_synthetic_native_ref_rel_err</t>
        </is>
      </c>
      <c r="Q1" t="inlineStr">
        <is>
          <t>sector_jenness_avg_level</t>
        </is>
      </c>
      <c r="R1" t="inlineStr">
        <is>
          <t>sector_jenness_max_level_used</t>
        </is>
      </c>
      <c r="S1" t="inlineStr">
        <is>
          <t>sector_jenness_refined_fraction</t>
        </is>
      </c>
    </row>
    <row r="2">
      <c r="A2" t="n">
        <v>0.05</v>
      </c>
      <c r="B2" t="n">
        <v>0.05</v>
      </c>
      <c r="C2" t="n">
        <v>0.05</v>
      </c>
      <c r="D2" t="inlineStr">
        <is>
          <t>gradient_multiplier</t>
        </is>
      </c>
      <c r="E2" t="n">
        <v>670924.8100000001</v>
      </c>
      <c r="F2" t="n">
        <v>892745.0106842939</v>
      </c>
      <c r="G2" t="n">
        <v>1.330618569142336</v>
      </c>
      <c r="H2" t="n">
        <v>268369924</v>
      </c>
      <c r="I2" t="n">
        <v>5.896509898710065</v>
      </c>
      <c r="J2" t="n">
        <v>0</v>
      </c>
      <c r="K2" t="inlineStr">
        <is>
          <t>resampling=native;dx=0.05;dy=0.05;slope_method=horn;runtime=compute_only</t>
        </is>
      </c>
      <c r="L2" t="n">
        <v>671006.7225000001</v>
      </c>
      <c r="M2" t="n">
        <v>893148.8034962971</v>
      </c>
      <c r="N2" t="n">
        <v>1.33105790679511</v>
      </c>
      <c r="O2" t="n">
        <v>-403.792812003172</v>
      </c>
      <c r="P2" t="n">
        <v>-0.0004521002664085706</v>
      </c>
      <c r="Q2" t="inlineStr"/>
      <c r="R2" t="inlineStr"/>
      <c r="S2" t="inlineStr"/>
    </row>
    <row r="3">
      <c r="A3" t="n">
        <v>0.05</v>
      </c>
      <c r="B3" t="n">
        <v>0.05</v>
      </c>
      <c r="C3" t="n">
        <v>0.05</v>
      </c>
      <c r="D3" t="inlineStr">
        <is>
          <t>jenness_window_8tri</t>
        </is>
      </c>
      <c r="E3" t="n">
        <v>670924.8100000001</v>
      </c>
      <c r="F3" t="n">
        <v>893039.9645997046</v>
      </c>
      <c r="G3" t="n">
        <v>1.331058192049426</v>
      </c>
      <c r="H3" t="n">
        <v>268369924</v>
      </c>
      <c r="I3" t="n">
        <v>67.28639060340356</v>
      </c>
      <c r="J3" t="n">
        <v>0</v>
      </c>
      <c r="K3" t="inlineStr">
        <is>
          <t>resampling=native;dx=0.05;dy=0.05;weight=0.25;triangle=heron;runtime=compute_only</t>
        </is>
      </c>
      <c r="L3" t="n">
        <v>671006.7225000001</v>
      </c>
      <c r="M3" t="n">
        <v>893148.8034962971</v>
      </c>
      <c r="N3" t="n">
        <v>1.33105790679511</v>
      </c>
      <c r="O3" t="n">
        <v>-108.8388965924969</v>
      </c>
      <c r="P3" t="n">
        <v>-0.0001218597574854705</v>
      </c>
      <c r="Q3" t="inlineStr"/>
      <c r="R3" t="inlineStr"/>
      <c r="S3" t="inlineStr"/>
    </row>
    <row r="4">
      <c r="A4" t="n">
        <v>0.05</v>
      </c>
      <c r="B4" t="n">
        <v>0.05</v>
      </c>
      <c r="C4" t="n">
        <v>0.05</v>
      </c>
      <c r="D4" t="inlineStr">
        <is>
          <t>sector_adaptive_jenness_integral</t>
        </is>
      </c>
      <c r="E4" t="n">
        <v>670924.8100000001</v>
      </c>
      <c r="F4" t="n">
        <v>892784.435701928</v>
      </c>
      <c r="G4" t="n">
        <v>1.330677331341984</v>
      </c>
      <c r="H4" t="n">
        <v>268369924</v>
      </c>
      <c r="I4" t="n">
        <v>2289.149732094957</v>
      </c>
      <c r="J4" t="n">
        <v>0</v>
      </c>
      <c r="K4" t="inlineStr">
        <is>
          <t>resampling=native;dx=0.05;dy=0.05;surface=quadratic_ls_3x3;partition=8_sector_cell;min_samples=3;rel_tol=0.0001;abs_tol=0;max_level=5;runtime=compute_only</t>
        </is>
      </c>
      <c r="L4" t="n">
        <v>671006.7225000001</v>
      </c>
      <c r="M4" t="n">
        <v>893148.8034962971</v>
      </c>
      <c r="N4" t="n">
        <v>1.33105790679511</v>
      </c>
      <c r="O4" t="n">
        <v>-364.3677943691146</v>
      </c>
      <c r="P4" t="n">
        <v>-0.0004079586659499177</v>
      </c>
      <c r="Q4" t="n">
        <v>0.9999999366546006</v>
      </c>
      <c r="R4" t="n">
        <v>1</v>
      </c>
      <c r="S4" t="n">
        <v>0.9999999366546006</v>
      </c>
    </row>
    <row r="5">
      <c r="A5" t="n">
        <v>0.05</v>
      </c>
      <c r="B5" t="n">
        <v>0.05</v>
      </c>
      <c r="C5" t="n">
        <v>0.05</v>
      </c>
      <c r="D5" t="inlineStr">
        <is>
          <t>tin_2tri_cell</t>
        </is>
      </c>
      <c r="E5" t="n">
        <v>670924.8100000001</v>
      </c>
      <c r="F5" t="n">
        <v>892804.2213458146</v>
      </c>
      <c r="G5" t="n">
        <v>1.330706821448166</v>
      </c>
      <c r="H5" t="n">
        <v>268369924</v>
      </c>
      <c r="I5" t="n">
        <v>14.77582620014437</v>
      </c>
      <c r="J5" t="n">
        <v>0</v>
      </c>
      <c r="K5" t="inlineStr">
        <is>
          <t>resampling=native;dx=0.05;dy=0.05;triangles=2;runtime=compute_only</t>
        </is>
      </c>
      <c r="L5" t="n">
        <v>671006.7225000001</v>
      </c>
      <c r="M5" t="n">
        <v>893148.8034962971</v>
      </c>
      <c r="N5" t="n">
        <v>1.33105790679511</v>
      </c>
      <c r="O5" t="n">
        <v>-344.5821504824562</v>
      </c>
      <c r="P5" t="n">
        <v>-0.0003858059811909996</v>
      </c>
      <c r="Q5" t="inlineStr"/>
      <c r="R5" t="inlineStr"/>
      <c r="S5" t="inlineStr"/>
    </row>
    <row r="6">
      <c r="A6" t="n">
        <v>0.05</v>
      </c>
      <c r="B6" t="n">
        <v>0.05</v>
      </c>
      <c r="C6" t="n">
        <v>0.05</v>
      </c>
      <c r="D6" t="inlineStr">
        <is>
          <t>native_grid_reference</t>
        </is>
      </c>
      <c r="E6" t="n">
        <v>671006.7225000001</v>
      </c>
      <c r="F6" t="n">
        <v>893148.8034962971</v>
      </c>
      <c r="G6" t="n">
        <v>1.33105790679511</v>
      </c>
      <c r="H6" t="inlineStr"/>
      <c r="I6" t="inlineStr"/>
      <c r="J6" t="inlineStr"/>
      <c r="K6" t="inlineStr">
        <is>
          <t>reference_row=native_grid_reference</t>
        </is>
      </c>
      <c r="L6" t="n">
        <v>671006.7225000001</v>
      </c>
      <c r="M6" t="n">
        <v>893148.8034962971</v>
      </c>
      <c r="N6" t="n">
        <v>1.33105790679511</v>
      </c>
      <c r="O6" t="n">
        <v>0</v>
      </c>
      <c r="P6" t="n">
        <v>0</v>
      </c>
      <c r="Q6" t="inlineStr"/>
      <c r="R6" t="inlineStr"/>
      <c r="S6" t="inlineStr"/>
    </row>
    <row r="7">
      <c r="A7" t="n">
        <v>0.1</v>
      </c>
      <c r="B7" t="n">
        <v>0.1</v>
      </c>
      <c r="C7" t="n">
        <v>0.1</v>
      </c>
      <c r="D7" t="inlineStr">
        <is>
          <t>gradient_multiplier</t>
        </is>
      </c>
      <c r="E7" t="n">
        <v>670761</v>
      </c>
      <c r="F7" t="n">
        <v>890773.4455961526</v>
      </c>
      <c r="G7" t="n">
        <v>1.328004230413147</v>
      </c>
      <c r="H7" t="n">
        <v>67076100</v>
      </c>
      <c r="I7" t="n">
        <v>1.454771100077778</v>
      </c>
      <c r="J7" t="n">
        <v>5.85097859997768</v>
      </c>
      <c r="K7" t="inlineStr">
        <is>
          <t>resampling=bilinear;dx=0.1;dy=0.1;slope_method=horn;runtime=compute_only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0.1</v>
      </c>
      <c r="B8" t="n">
        <v>0.1</v>
      </c>
      <c r="C8" t="n">
        <v>0.1</v>
      </c>
      <c r="D8" t="inlineStr">
        <is>
          <t>jenness_window_8tri</t>
        </is>
      </c>
      <c r="E8" t="n">
        <v>670761</v>
      </c>
      <c r="F8" t="n">
        <v>891939.6963146538</v>
      </c>
      <c r="G8" t="n">
        <v>1.329742928277962</v>
      </c>
      <c r="H8" t="n">
        <v>67076100</v>
      </c>
      <c r="I8" t="n">
        <v>14.4943762004259</v>
      </c>
      <c r="J8" t="n">
        <v>5.85097859997768</v>
      </c>
      <c r="K8" t="inlineStr">
        <is>
          <t>resampling=bilinear;dx=0.1;dy=0.1;weight=0.25;triangle=heron;runtime=compute_only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0.1</v>
      </c>
      <c r="B9" t="n">
        <v>0.1</v>
      </c>
      <c r="C9" t="n">
        <v>0.1</v>
      </c>
      <c r="D9" t="inlineStr">
        <is>
          <t>sector_adaptive_jenness_integral</t>
        </is>
      </c>
      <c r="E9" t="n">
        <v>670761</v>
      </c>
      <c r="F9" t="n">
        <v>890929.1365545536</v>
      </c>
      <c r="G9" t="n">
        <v>1.328236341341482</v>
      </c>
      <c r="H9" t="n">
        <v>67076100</v>
      </c>
      <c r="I9" t="n">
        <v>532.1527680002037</v>
      </c>
      <c r="J9" t="n">
        <v>5.85097859997768</v>
      </c>
      <c r="K9" t="inlineStr">
        <is>
          <t>resampling=bilinear;dx=0.1;dy=0.1;surface=quadratic_ls_3x3;partition=8_sector_cell;min_samples=3;rel_tol=0.0001;abs_tol=0;max_level=5;runtime=compute_only</t>
        </is>
      </c>
      <c r="L9" t="inlineStr"/>
      <c r="M9" t="inlineStr"/>
      <c r="N9" t="inlineStr"/>
      <c r="O9" t="inlineStr"/>
      <c r="P9" t="inlineStr"/>
      <c r="Q9" t="n">
        <v>1</v>
      </c>
      <c r="R9" t="n">
        <v>1</v>
      </c>
      <c r="S9" t="n">
        <v>1</v>
      </c>
    </row>
    <row r="10">
      <c r="A10" t="n">
        <v>0.1</v>
      </c>
      <c r="B10" t="n">
        <v>0.1</v>
      </c>
      <c r="C10" t="n">
        <v>0.1</v>
      </c>
      <c r="D10" t="inlineStr">
        <is>
          <t>tin_2tri_cell</t>
        </is>
      </c>
      <c r="E10" t="n">
        <v>670761</v>
      </c>
      <c r="F10" t="n">
        <v>891007.076413159</v>
      </c>
      <c r="G10" t="n">
        <v>1.328352537510617</v>
      </c>
      <c r="H10" t="n">
        <v>67076100</v>
      </c>
      <c r="I10" t="n">
        <v>3.429558801755775</v>
      </c>
      <c r="J10" t="n">
        <v>5.85097859997768</v>
      </c>
      <c r="K10" t="inlineStr">
        <is>
          <t>resampling=bilinear;dx=0.1;dy=0.1;triangles=2;runtime=compute_only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0.5</v>
      </c>
      <c r="B11" t="n">
        <v>0.5</v>
      </c>
      <c r="C11" t="n">
        <v>0.5</v>
      </c>
      <c r="D11" t="inlineStr">
        <is>
          <t>gradient_multiplier</t>
        </is>
      </c>
      <c r="E11" t="n">
        <v>669124</v>
      </c>
      <c r="F11" t="n">
        <v>848163.8489722827</v>
      </c>
      <c r="G11" t="n">
        <v>1.267573497546468</v>
      </c>
      <c r="H11" t="n">
        <v>2676496</v>
      </c>
      <c r="I11" t="n">
        <v>0.06170999992173165</v>
      </c>
      <c r="J11" t="n">
        <v>3.499196799995843</v>
      </c>
      <c r="K11" t="inlineStr">
        <is>
          <t>resampling=bilinear;dx=0.5;dy=0.5;slope_method=horn;runtime=compute_only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0.5</v>
      </c>
      <c r="B12" t="n">
        <v>0.5</v>
      </c>
      <c r="C12" t="n">
        <v>0.5</v>
      </c>
      <c r="D12" t="inlineStr">
        <is>
          <t>jenness_window_8tri</t>
        </is>
      </c>
      <c r="E12" t="n">
        <v>669124</v>
      </c>
      <c r="F12" t="n">
        <v>870704.973393044</v>
      </c>
      <c r="G12" t="n">
        <v>1.301261011999336</v>
      </c>
      <c r="H12" t="n">
        <v>2676496</v>
      </c>
      <c r="I12" t="n">
        <v>0.4760212001856416</v>
      </c>
      <c r="J12" t="n">
        <v>3.499196799995843</v>
      </c>
      <c r="K12" t="inlineStr">
        <is>
          <t>resampling=bilinear;dx=0.5;dy=0.5;weight=0.25;triangle=heron;runtime=compute_only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0.5</v>
      </c>
      <c r="B13" t="n">
        <v>0.5</v>
      </c>
      <c r="C13" t="n">
        <v>0.5</v>
      </c>
      <c r="D13" t="inlineStr">
        <is>
          <t>sector_adaptive_jenness_integral</t>
        </is>
      </c>
      <c r="E13" t="n">
        <v>669124</v>
      </c>
      <c r="F13" t="n">
        <v>851207.2959566524</v>
      </c>
      <c r="G13" t="n">
        <v>1.272121902601988</v>
      </c>
      <c r="H13" t="n">
        <v>2676496</v>
      </c>
      <c r="I13" t="n">
        <v>22.60139559977688</v>
      </c>
      <c r="J13" t="n">
        <v>3.499196799995843</v>
      </c>
      <c r="K13" t="inlineStr">
        <is>
          <t>resampling=bilinear;dx=0.5;dy=0.5;surface=quadratic_ls_3x3;partition=8_sector_cell;min_samples=3;rel_tol=0.0001;abs_tol=0;max_level=5;runtime=compute_only</t>
        </is>
      </c>
      <c r="L13" t="inlineStr"/>
      <c r="M13" t="inlineStr"/>
      <c r="N13" t="inlineStr"/>
      <c r="O13" t="inlineStr"/>
      <c r="P13" t="inlineStr"/>
      <c r="Q13" t="n">
        <v>1.000290304936006</v>
      </c>
      <c r="R13" t="n">
        <v>2</v>
      </c>
      <c r="S13" t="n">
        <v>1</v>
      </c>
    </row>
    <row r="14">
      <c r="A14" t="n">
        <v>0.5</v>
      </c>
      <c r="B14" t="n">
        <v>0.5</v>
      </c>
      <c r="C14" t="n">
        <v>0.5</v>
      </c>
      <c r="D14" t="inlineStr">
        <is>
          <t>tin_2tri_cell</t>
        </is>
      </c>
      <c r="E14" t="n">
        <v>669124</v>
      </c>
      <c r="F14" t="n">
        <v>852246.5364738482</v>
      </c>
      <c r="G14" t="n">
        <v>1.273675038518792</v>
      </c>
      <c r="H14" t="n">
        <v>2676496</v>
      </c>
      <c r="I14" t="n">
        <v>0.1291874002781697</v>
      </c>
      <c r="J14" t="n">
        <v>3.499196799995843</v>
      </c>
      <c r="K14" t="inlineStr">
        <is>
          <t>resampling=bilinear;dx=0.5;dy=0.5;triangles=2;runtime=compute_only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</v>
      </c>
      <c r="B15" t="n">
        <v>1</v>
      </c>
      <c r="C15" t="n">
        <v>1</v>
      </c>
      <c r="D15" t="inlineStr">
        <is>
          <t>gradient_multiplier</t>
        </is>
      </c>
      <c r="E15" t="n">
        <v>667489</v>
      </c>
      <c r="F15" t="n">
        <v>779327.516988745</v>
      </c>
      <c r="G15" t="n">
        <v>1.167551101199787</v>
      </c>
      <c r="H15" t="n">
        <v>667489</v>
      </c>
      <c r="I15" t="n">
        <v>0.01293890015222132</v>
      </c>
      <c r="J15" t="n">
        <v>3.434324399975594</v>
      </c>
      <c r="K15" t="inlineStr">
        <is>
          <t>resampling=bilinear;dx=1;dy=1;slope_method=horn;runtime=compute_only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</v>
      </c>
      <c r="B16" t="n">
        <v>1</v>
      </c>
      <c r="C16" t="n">
        <v>1</v>
      </c>
      <c r="D16" t="inlineStr">
        <is>
          <t>jenness_window_8tri</t>
        </is>
      </c>
      <c r="E16" t="n">
        <v>667489</v>
      </c>
      <c r="F16" t="n">
        <v>824837.4375531178</v>
      </c>
      <c r="G16" t="n">
        <v>1.235731881054396</v>
      </c>
      <c r="H16" t="n">
        <v>667489</v>
      </c>
      <c r="I16" t="n">
        <v>0.09548110014293343</v>
      </c>
      <c r="J16" t="n">
        <v>3.434324399975594</v>
      </c>
      <c r="K16" t="inlineStr">
        <is>
          <t>resampling=bilinear;dx=1;dy=1;weight=0.25;triangle=heron;runtime=compute_only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</v>
      </c>
      <c r="B17" t="n">
        <v>1</v>
      </c>
      <c r="C17" t="n">
        <v>1</v>
      </c>
      <c r="D17" t="inlineStr">
        <is>
          <t>sector_adaptive_jenness_integral</t>
        </is>
      </c>
      <c r="E17" t="n">
        <v>667489</v>
      </c>
      <c r="F17" t="n">
        <v>785549.8011631097</v>
      </c>
      <c r="G17" t="n">
        <v>1.176873028863561</v>
      </c>
      <c r="H17" t="n">
        <v>667489</v>
      </c>
      <c r="I17" t="n">
        <v>7.61341689992696</v>
      </c>
      <c r="J17" t="n">
        <v>3.434324399975594</v>
      </c>
      <c r="K17" t="inlineStr">
        <is>
          <t>resampling=bilinear;dx=1;dy=1;surface=quadratic_ls_3x3;partition=8_sector_cell;min_samples=3;rel_tol=0.0001;abs_tol=0;max_level=5;runtime=compute_only</t>
        </is>
      </c>
      <c r="L17" t="inlineStr"/>
      <c r="M17" t="inlineStr"/>
      <c r="N17" t="inlineStr"/>
      <c r="O17" t="inlineStr"/>
      <c r="P17" t="inlineStr"/>
      <c r="Q17" t="n">
        <v>1.006484001983553</v>
      </c>
      <c r="R17" t="n">
        <v>2</v>
      </c>
      <c r="S17" t="n">
        <v>1</v>
      </c>
    </row>
    <row r="18">
      <c r="A18" t="n">
        <v>1</v>
      </c>
      <c r="B18" t="n">
        <v>1</v>
      </c>
      <c r="C18" t="n">
        <v>1</v>
      </c>
      <c r="D18" t="inlineStr">
        <is>
          <t>tin_2tri_cell</t>
        </is>
      </c>
      <c r="E18" t="n">
        <v>667489</v>
      </c>
      <c r="F18" t="n">
        <v>785745.5247228097</v>
      </c>
      <c r="G18" t="n">
        <v>1.177166252511741</v>
      </c>
      <c r="H18" t="n">
        <v>667489</v>
      </c>
      <c r="I18" t="n">
        <v>0.02418569999281317</v>
      </c>
      <c r="J18" t="n">
        <v>3.434324399975594</v>
      </c>
      <c r="K18" t="inlineStr">
        <is>
          <t>resampling=bilinear;dx=1;dy=1;triangles=2;runtime=compute_only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2</v>
      </c>
      <c r="B19" t="n">
        <v>2</v>
      </c>
      <c r="C19" t="n">
        <v>2</v>
      </c>
      <c r="D19" t="inlineStr">
        <is>
          <t>gradient_multiplier</t>
        </is>
      </c>
      <c r="E19" t="n">
        <v>665856</v>
      </c>
      <c r="F19" t="n">
        <v>719343.7444988678</v>
      </c>
      <c r="G19" t="n">
        <v>1.080329297173665</v>
      </c>
      <c r="H19" t="n">
        <v>166464</v>
      </c>
      <c r="I19" t="n">
        <v>0.002509300073143095</v>
      </c>
      <c r="J19" t="n">
        <v>3.434273799997754</v>
      </c>
      <c r="K19" t="inlineStr">
        <is>
          <t>resampling=bilinear;dx=2;dy=2;slope_method=horn;runtime=compute_only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2</v>
      </c>
      <c r="B20" t="n">
        <v>2</v>
      </c>
      <c r="C20" t="n">
        <v>2</v>
      </c>
      <c r="D20" t="inlineStr">
        <is>
          <t>jenness_window_8tri</t>
        </is>
      </c>
      <c r="E20" t="n">
        <v>665856</v>
      </c>
      <c r="F20" t="n">
        <v>751209.9102001537</v>
      </c>
      <c r="G20" t="n">
        <v>1.128186740376528</v>
      </c>
      <c r="H20" t="n">
        <v>166464</v>
      </c>
      <c r="I20" t="n">
        <v>0.02071589999832213</v>
      </c>
      <c r="J20" t="n">
        <v>3.434273799997754</v>
      </c>
      <c r="K20" t="inlineStr">
        <is>
          <t>resampling=bilinear;dx=2;dy=2;weight=0.25;triangle=heron;runtime=compute_only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2</v>
      </c>
      <c r="B21" t="n">
        <v>2</v>
      </c>
      <c r="C21" t="n">
        <v>2</v>
      </c>
      <c r="D21" t="inlineStr">
        <is>
          <t>sector_adaptive_jenness_integral</t>
        </is>
      </c>
      <c r="E21" t="n">
        <v>665856</v>
      </c>
      <c r="F21" t="n">
        <v>723509.2925323539</v>
      </c>
      <c r="G21" t="n">
        <v>1.086585226433874</v>
      </c>
      <c r="H21" t="n">
        <v>166464</v>
      </c>
      <c r="I21" t="n">
        <v>1.117070699983742</v>
      </c>
      <c r="J21" t="n">
        <v>3.434273799997754</v>
      </c>
      <c r="K21" t="inlineStr">
        <is>
          <t>resampling=bilinear;dx=2;dy=2;surface=quadratic_ls_3x3;partition=8_sector_cell;min_samples=3;rel_tol=0.0001;abs_tol=0;max_level=5;runtime=compute_only</t>
        </is>
      </c>
      <c r="L21" t="inlineStr"/>
      <c r="M21" t="inlineStr"/>
      <c r="N21" t="inlineStr"/>
      <c r="O21" t="inlineStr"/>
      <c r="P21" t="inlineStr"/>
      <c r="Q21" t="n">
        <v>1.000156189926951</v>
      </c>
      <c r="R21" t="n">
        <v>2</v>
      </c>
      <c r="S21" t="n">
        <v>1</v>
      </c>
    </row>
    <row r="22">
      <c r="A22" t="n">
        <v>2</v>
      </c>
      <c r="B22" t="n">
        <v>2</v>
      </c>
      <c r="C22" t="n">
        <v>2</v>
      </c>
      <c r="D22" t="inlineStr">
        <is>
          <t>tin_2tri_cell</t>
        </is>
      </c>
      <c r="E22" t="n">
        <v>665856</v>
      </c>
      <c r="F22" t="n">
        <v>722362.393474689</v>
      </c>
      <c r="G22" t="n">
        <v>1.084862783356595</v>
      </c>
      <c r="H22" t="n">
        <v>166464</v>
      </c>
      <c r="I22" t="n">
        <v>0.004931799834594131</v>
      </c>
      <c r="J22" t="n">
        <v>3.434273799997754</v>
      </c>
      <c r="K22" t="inlineStr">
        <is>
          <t>resampling=bilinear;dx=2;dy=2;triangles=2;runtime=compute_only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5</v>
      </c>
      <c r="B23" t="n">
        <v>5</v>
      </c>
      <c r="C23" t="n">
        <v>5</v>
      </c>
      <c r="D23" t="inlineStr">
        <is>
          <t>gradient_multiplier</t>
        </is>
      </c>
      <c r="E23" t="n">
        <v>656100</v>
      </c>
      <c r="F23" t="n">
        <v>684223.2554623539</v>
      </c>
      <c r="G23" t="n">
        <v>1.042864282064249</v>
      </c>
      <c r="H23" t="n">
        <v>26244</v>
      </c>
      <c r="I23" t="n">
        <v>0.0003098999732173979</v>
      </c>
      <c r="J23" t="n">
        <v>3.444960499997251</v>
      </c>
      <c r="K23" t="inlineStr">
        <is>
          <t>resampling=bilinear;dx=5;dy=5;slope_method=horn;runtime=compute_only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5</v>
      </c>
      <c r="B24" t="n">
        <v>5</v>
      </c>
      <c r="C24" t="n">
        <v>5</v>
      </c>
      <c r="D24" t="inlineStr">
        <is>
          <t>jenness_window_8tri</t>
        </is>
      </c>
      <c r="E24" t="n">
        <v>656100</v>
      </c>
      <c r="F24" t="n">
        <v>692951.162376326</v>
      </c>
      <c r="G24" t="n">
        <v>1.056166990361722</v>
      </c>
      <c r="H24" t="n">
        <v>26244</v>
      </c>
      <c r="I24" t="n">
        <v>0.003372700011823326</v>
      </c>
      <c r="J24" t="n">
        <v>3.444960499997251</v>
      </c>
      <c r="K24" t="inlineStr">
        <is>
          <t>resampling=bilinear;dx=5;dy=5;weight=0.25;triangle=heron;runtime=compute_only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5</v>
      </c>
      <c r="B25" t="n">
        <v>5</v>
      </c>
      <c r="C25" t="n">
        <v>5</v>
      </c>
      <c r="D25" t="inlineStr">
        <is>
          <t>sector_adaptive_jenness_integral</t>
        </is>
      </c>
      <c r="E25" t="n">
        <v>656100</v>
      </c>
      <c r="F25" t="n">
        <v>685233.1827375842</v>
      </c>
      <c r="G25" t="n">
        <v>1.044403570702003</v>
      </c>
      <c r="H25" t="n">
        <v>26244</v>
      </c>
      <c r="I25" t="n">
        <v>0.08256149996304885</v>
      </c>
      <c r="J25" t="n">
        <v>3.444960499997251</v>
      </c>
      <c r="K25" t="inlineStr">
        <is>
          <t>resampling=bilinear;dx=5;dy=5;surface=quadratic_ls_3x3;partition=8_sector_cell;min_samples=3;rel_tol=0.0001;abs_tol=0;max_level=5;runtime=compute_only</t>
        </is>
      </c>
      <c r="L25" t="inlineStr"/>
      <c r="M25" t="inlineStr"/>
      <c r="N25" t="inlineStr"/>
      <c r="O25" t="inlineStr"/>
      <c r="P25" t="inlineStr"/>
      <c r="Q25" t="n">
        <v>1</v>
      </c>
      <c r="R25" t="n">
        <v>1</v>
      </c>
      <c r="S25" t="n">
        <v>1</v>
      </c>
    </row>
    <row r="26">
      <c r="A26" t="n">
        <v>5</v>
      </c>
      <c r="B26" t="n">
        <v>5</v>
      </c>
      <c r="C26" t="n">
        <v>5</v>
      </c>
      <c r="D26" t="inlineStr">
        <is>
          <t>tin_2tri_cell</t>
        </is>
      </c>
      <c r="E26" t="n">
        <v>656100</v>
      </c>
      <c r="F26" t="n">
        <v>685480.0598512797</v>
      </c>
      <c r="G26" t="n">
        <v>1.044779850405852</v>
      </c>
      <c r="H26" t="n">
        <v>26244</v>
      </c>
      <c r="I26" t="n">
        <v>0.001005800033453852</v>
      </c>
      <c r="J26" t="n">
        <v>3.444960499997251</v>
      </c>
      <c r="K26" t="inlineStr">
        <is>
          <t>resampling=bilinear;dx=5;dy=5;triangles=2;runtime=compute_only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10</v>
      </c>
      <c r="B27" t="n">
        <v>10</v>
      </c>
      <c r="C27" t="n">
        <v>10</v>
      </c>
      <c r="D27" t="inlineStr">
        <is>
          <t>gradient_multiplier</t>
        </is>
      </c>
      <c r="E27" t="n">
        <v>640000</v>
      </c>
      <c r="F27" t="n">
        <v>652883.0659933151</v>
      </c>
      <c r="G27" t="n">
        <v>1.020129790614555</v>
      </c>
      <c r="H27" t="n">
        <v>6400</v>
      </c>
      <c r="I27" t="n">
        <v>0.0001320999581366777</v>
      </c>
      <c r="J27" t="n">
        <v>3.563700900005642</v>
      </c>
      <c r="K27" t="inlineStr">
        <is>
          <t>resampling=bilinear;dx=10;dy=10;slope_method=horn;runtime=compute_only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10</v>
      </c>
      <c r="B28" t="n">
        <v>10</v>
      </c>
      <c r="C28" t="n">
        <v>10</v>
      </c>
      <c r="D28" t="inlineStr">
        <is>
          <t>jenness_window_8tri</t>
        </is>
      </c>
      <c r="E28" t="n">
        <v>640000</v>
      </c>
      <c r="F28" t="n">
        <v>662656.9275265477</v>
      </c>
      <c r="G28" t="n">
        <v>1.035401449260231</v>
      </c>
      <c r="H28" t="n">
        <v>6400</v>
      </c>
      <c r="I28" t="n">
        <v>0.0004893000004813075</v>
      </c>
      <c r="J28" t="n">
        <v>3.563700900005642</v>
      </c>
      <c r="K28" t="inlineStr">
        <is>
          <t>resampling=bilinear;dx=10;dy=10;weight=0.25;triangle=heron;runtime=compute_only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10</v>
      </c>
      <c r="B29" t="n">
        <v>10</v>
      </c>
      <c r="C29" t="n">
        <v>10</v>
      </c>
      <c r="D29" t="inlineStr">
        <is>
          <t>sector_adaptive_jenness_integral</t>
        </is>
      </c>
      <c r="E29" t="n">
        <v>640000</v>
      </c>
      <c r="F29" t="n">
        <v>653767.2851465209</v>
      </c>
      <c r="G29" t="n">
        <v>1.021511383041439</v>
      </c>
      <c r="H29" t="n">
        <v>6400</v>
      </c>
      <c r="I29" t="n">
        <v>0.02603549999184906</v>
      </c>
      <c r="J29" t="n">
        <v>3.563700900005642</v>
      </c>
      <c r="K29" t="inlineStr">
        <is>
          <t>resampling=bilinear;dx=10;dy=10;surface=quadratic_ls_3x3;partition=8_sector_cell;min_samples=3;rel_tol=0.0001;abs_tol=0;max_level=5;runtime=compute_only</t>
        </is>
      </c>
      <c r="L29" t="inlineStr"/>
      <c r="M29" t="inlineStr"/>
      <c r="N29" t="inlineStr"/>
      <c r="O29" t="inlineStr"/>
      <c r="P29" t="inlineStr"/>
      <c r="Q29" t="n">
        <v>1</v>
      </c>
      <c r="R29" t="n">
        <v>1</v>
      </c>
      <c r="S29" t="n">
        <v>1</v>
      </c>
    </row>
    <row r="30">
      <c r="A30" t="n">
        <v>10</v>
      </c>
      <c r="B30" t="n">
        <v>10</v>
      </c>
      <c r="C30" t="n">
        <v>10</v>
      </c>
      <c r="D30" t="inlineStr">
        <is>
          <t>tin_2tri_cell</t>
        </is>
      </c>
      <c r="E30" t="n">
        <v>640000</v>
      </c>
      <c r="F30" t="n">
        <v>654544.374232447</v>
      </c>
      <c r="G30" t="n">
        <v>1.022725584738198</v>
      </c>
      <c r="H30" t="n">
        <v>6400</v>
      </c>
      <c r="I30" t="n">
        <v>0.0002696000155992806</v>
      </c>
      <c r="J30" t="n">
        <v>3.563700900005642</v>
      </c>
      <c r="K30" t="inlineStr">
        <is>
          <t>resampling=bilinear;dx=10;dy=10;triangles=2;runtime=compute_only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20</v>
      </c>
      <c r="B31" t="n">
        <v>20</v>
      </c>
      <c r="C31" t="n">
        <v>20</v>
      </c>
      <c r="D31" t="inlineStr">
        <is>
          <t>gradient_multiplier</t>
        </is>
      </c>
      <c r="E31" t="n">
        <v>608400</v>
      </c>
      <c r="F31" t="n">
        <v>610446.7168100609</v>
      </c>
      <c r="G31" t="n">
        <v>1.003364097320942</v>
      </c>
      <c r="H31" t="n">
        <v>1521</v>
      </c>
      <c r="I31" t="n">
        <v>8.11999780125916e-05</v>
      </c>
      <c r="J31" t="n">
        <v>3.771532799990382</v>
      </c>
      <c r="K31" t="inlineStr">
        <is>
          <t>resampling=bilinear;dx=20;dy=20;slope_method=horn;runtime=compute_only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20</v>
      </c>
      <c r="B32" t="n">
        <v>20</v>
      </c>
      <c r="C32" t="n">
        <v>20</v>
      </c>
      <c r="D32" t="inlineStr">
        <is>
          <t>jenness_window_8tri</t>
        </is>
      </c>
      <c r="E32" t="n">
        <v>608400</v>
      </c>
      <c r="F32" t="n">
        <v>616783.4187539758</v>
      </c>
      <c r="G32" t="n">
        <v>1.013779452258343</v>
      </c>
      <c r="H32" t="n">
        <v>1521</v>
      </c>
      <c r="I32" t="n">
        <v>0.0002735999878495932</v>
      </c>
      <c r="J32" t="n">
        <v>3.771532799990382</v>
      </c>
      <c r="K32" t="inlineStr">
        <is>
          <t>resampling=bilinear;dx=20;dy=20;weight=0.25;triangle=heron;runtime=compute_only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n">
        <v>20</v>
      </c>
      <c r="B33" t="n">
        <v>20</v>
      </c>
      <c r="C33" t="n">
        <v>20</v>
      </c>
      <c r="D33" t="inlineStr">
        <is>
          <t>sector_adaptive_jenness_integral</t>
        </is>
      </c>
      <c r="E33" t="n">
        <v>608400</v>
      </c>
      <c r="F33" t="n">
        <v>610582.2074102133</v>
      </c>
      <c r="G33" t="n">
        <v>1.0035867971897</v>
      </c>
      <c r="H33" t="n">
        <v>1521</v>
      </c>
      <c r="I33" t="n">
        <v>0.006536300003062934</v>
      </c>
      <c r="J33" t="n">
        <v>3.771532799990382</v>
      </c>
      <c r="K33" t="inlineStr">
        <is>
          <t>resampling=bilinear;dx=20;dy=20;surface=quadratic_ls_3x3;partition=8_sector_cell;min_samples=3;rel_tol=0.0001;abs_tol=0;max_level=5;runtime=compute_only</t>
        </is>
      </c>
      <c r="L33" t="inlineStr"/>
      <c r="M33" t="inlineStr"/>
      <c r="N33" t="inlineStr"/>
      <c r="O33" t="inlineStr"/>
      <c r="P33" t="inlineStr"/>
      <c r="Q33" t="n">
        <v>1</v>
      </c>
      <c r="R33" t="n">
        <v>1</v>
      </c>
      <c r="S33" t="n">
        <v>1</v>
      </c>
    </row>
    <row r="34">
      <c r="A34" t="n">
        <v>20</v>
      </c>
      <c r="B34" t="n">
        <v>20</v>
      </c>
      <c r="C34" t="n">
        <v>20</v>
      </c>
      <c r="D34" t="inlineStr">
        <is>
          <t>tin_2tri_cell</t>
        </is>
      </c>
      <c r="E34" t="n">
        <v>608400</v>
      </c>
      <c r="F34" t="n">
        <v>611471.5326769032</v>
      </c>
      <c r="G34" t="n">
        <v>1.005048541546521</v>
      </c>
      <c r="H34" t="n">
        <v>1521</v>
      </c>
      <c r="I34" t="n">
        <v>0.0002310000127181411</v>
      </c>
      <c r="J34" t="n">
        <v>3.771532799990382</v>
      </c>
      <c r="K34" t="inlineStr">
        <is>
          <t>resampling=bilinear;dx=20;dy=20;triangles=2;runtime=compute_only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n">
        <v>50</v>
      </c>
      <c r="B35" t="n">
        <v>50</v>
      </c>
      <c r="C35" t="n">
        <v>50</v>
      </c>
      <c r="D35" t="inlineStr">
        <is>
          <t>gradient_multiplier</t>
        </is>
      </c>
      <c r="E35" t="n">
        <v>490000</v>
      </c>
      <c r="F35" t="n">
        <v>490152.0212760532</v>
      </c>
      <c r="G35" t="n">
        <v>1.000310247502149</v>
      </c>
      <c r="H35" t="n">
        <v>196</v>
      </c>
      <c r="I35" t="n">
        <v>5.759997293353081e-05</v>
      </c>
      <c r="J35" t="n">
        <v>5.148519800044596</v>
      </c>
      <c r="K35" t="inlineStr">
        <is>
          <t>resampling=bilinear;dx=50;dy=50;slope_method=horn;runtime=compute_only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n">
        <v>50</v>
      </c>
      <c r="B36" t="n">
        <v>50</v>
      </c>
      <c r="C36" t="n">
        <v>50</v>
      </c>
      <c r="D36" t="inlineStr">
        <is>
          <t>jenness_window_8tri</t>
        </is>
      </c>
      <c r="E36" t="n">
        <v>490000</v>
      </c>
      <c r="F36" t="n">
        <v>490220.687841516</v>
      </c>
      <c r="G36" t="n">
        <v>1.000450383350033</v>
      </c>
      <c r="H36" t="n">
        <v>196</v>
      </c>
      <c r="I36" t="n">
        <v>0.0001162000116892159</v>
      </c>
      <c r="J36" t="n">
        <v>5.148519800044596</v>
      </c>
      <c r="K36" t="inlineStr">
        <is>
          <t>resampling=bilinear;dx=50;dy=50;weight=0.25;triangle=heron;runtime=compute_only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50</v>
      </c>
      <c r="B37" t="n">
        <v>50</v>
      </c>
      <c r="C37" t="n">
        <v>50</v>
      </c>
      <c r="D37" t="inlineStr">
        <is>
          <t>sector_adaptive_jenness_integral</t>
        </is>
      </c>
      <c r="E37" t="n">
        <v>490000</v>
      </c>
      <c r="F37" t="n">
        <v>490153.6599426399</v>
      </c>
      <c r="G37" t="n">
        <v>1.000313591719673</v>
      </c>
      <c r="H37" t="n">
        <v>196</v>
      </c>
      <c r="I37" t="n">
        <v>0.002597999991849065</v>
      </c>
      <c r="J37" t="n">
        <v>5.148519800044596</v>
      </c>
      <c r="K37" t="inlineStr">
        <is>
          <t>resampling=bilinear;dx=50;dy=50;surface=quadratic_ls_3x3;partition=8_sector_cell;min_samples=3;rel_tol=0.0001;abs_tol=0;max_level=5;runtime=compute_only</t>
        </is>
      </c>
      <c r="L37" t="inlineStr"/>
      <c r="M37" t="inlineStr"/>
      <c r="N37" t="inlineStr"/>
      <c r="O37" t="inlineStr"/>
      <c r="P37" t="inlineStr"/>
      <c r="Q37" t="n">
        <v>1</v>
      </c>
      <c r="R37" t="n">
        <v>1</v>
      </c>
      <c r="S37" t="n">
        <v>1</v>
      </c>
    </row>
    <row r="38">
      <c r="A38" t="n">
        <v>50</v>
      </c>
      <c r="B38" t="n">
        <v>50</v>
      </c>
      <c r="C38" t="n">
        <v>50</v>
      </c>
      <c r="D38" t="inlineStr">
        <is>
          <t>tin_2tri_cell</t>
        </is>
      </c>
      <c r="E38" t="n">
        <v>490000</v>
      </c>
      <c r="F38" t="n">
        <v>490152.4437670121</v>
      </c>
      <c r="G38" t="n">
        <v>1.000311109728596</v>
      </c>
      <c r="H38" t="n">
        <v>196</v>
      </c>
      <c r="I38" t="n">
        <v>0.0001412999699823558</v>
      </c>
      <c r="J38" t="n">
        <v>5.148519800044596</v>
      </c>
      <c r="K38" t="inlineStr">
        <is>
          <t>resampling=bilinear;dx=50;dy=50;triangles=2;runtime=compute_only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gradient_multiplier_A3D</t>
        </is>
      </c>
      <c r="C1" t="inlineStr">
        <is>
          <t>jenness_window_8tri_A3D</t>
        </is>
      </c>
      <c r="D1" t="inlineStr">
        <is>
          <t>sector_adaptive_jenness_integral_A3D</t>
        </is>
      </c>
      <c r="E1" t="inlineStr">
        <is>
          <t>tin_2tri_cell_A3D</t>
        </is>
      </c>
    </row>
    <row r="2">
      <c r="A2" t="n">
        <v>0.05</v>
      </c>
      <c r="B2" t="n">
        <v>892745.0106842939</v>
      </c>
      <c r="C2" t="n">
        <v>893039.9645997046</v>
      </c>
      <c r="D2" t="n">
        <v>892784.435701928</v>
      </c>
      <c r="E2" t="n">
        <v>892804.2213458146</v>
      </c>
    </row>
    <row r="3">
      <c r="A3" t="n">
        <v>0.1</v>
      </c>
      <c r="B3" t="n">
        <v>890773.4455961526</v>
      </c>
      <c r="C3" t="n">
        <v>891939.6963146538</v>
      </c>
      <c r="D3" t="n">
        <v>890929.1365545536</v>
      </c>
      <c r="E3" t="n">
        <v>891007.076413159</v>
      </c>
    </row>
    <row r="4">
      <c r="A4" t="n">
        <v>0.5</v>
      </c>
      <c r="B4" t="n">
        <v>848163.8489722827</v>
      </c>
      <c r="C4" t="n">
        <v>870704.973393044</v>
      </c>
      <c r="D4" t="n">
        <v>851207.2959566524</v>
      </c>
      <c r="E4" t="n">
        <v>852246.5364738482</v>
      </c>
    </row>
    <row r="5">
      <c r="A5" t="n">
        <v>1</v>
      </c>
      <c r="B5" t="n">
        <v>779327.516988745</v>
      </c>
      <c r="C5" t="n">
        <v>824837.4375531178</v>
      </c>
      <c r="D5" t="n">
        <v>785549.8011631097</v>
      </c>
      <c r="E5" t="n">
        <v>785745.5247228097</v>
      </c>
    </row>
    <row r="6">
      <c r="A6" t="n">
        <v>2</v>
      </c>
      <c r="B6" t="n">
        <v>719343.7444988678</v>
      </c>
      <c r="C6" t="n">
        <v>751209.9102001537</v>
      </c>
      <c r="D6" t="n">
        <v>723509.2925323539</v>
      </c>
      <c r="E6" t="n">
        <v>722362.393474689</v>
      </c>
    </row>
    <row r="7">
      <c r="A7" t="n">
        <v>5</v>
      </c>
      <c r="B7" t="n">
        <v>684223.2554623539</v>
      </c>
      <c r="C7" t="n">
        <v>692951.162376326</v>
      </c>
      <c r="D7" t="n">
        <v>685233.1827375842</v>
      </c>
      <c r="E7" t="n">
        <v>685480.0598512797</v>
      </c>
    </row>
    <row r="8">
      <c r="A8" t="n">
        <v>10</v>
      </c>
      <c r="B8" t="n">
        <v>652883.0659933151</v>
      </c>
      <c r="C8" t="n">
        <v>662656.9275265477</v>
      </c>
      <c r="D8" t="n">
        <v>653767.2851465209</v>
      </c>
      <c r="E8" t="n">
        <v>654544.374232447</v>
      </c>
    </row>
    <row r="9">
      <c r="A9" t="n">
        <v>20</v>
      </c>
      <c r="B9" t="n">
        <v>610446.7168100609</v>
      </c>
      <c r="C9" t="n">
        <v>616783.4187539758</v>
      </c>
      <c r="D9" t="n">
        <v>610582.2074102133</v>
      </c>
      <c r="E9" t="n">
        <v>611471.5326769032</v>
      </c>
    </row>
    <row r="10">
      <c r="A10" t="n">
        <v>50</v>
      </c>
      <c r="B10" t="n">
        <v>490152.0212760532</v>
      </c>
      <c r="C10" t="n">
        <v>490220.687841516</v>
      </c>
      <c r="D10" t="n">
        <v>490153.6599426399</v>
      </c>
      <c r="E10" t="n">
        <v>490152.4437670121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reference_kind</t>
        </is>
      </c>
      <c r="B1" t="inlineStr">
        <is>
          <t>gsd_m</t>
        </is>
      </c>
      <c r="C1" t="inlineStr">
        <is>
          <t>dx</t>
        </is>
      </c>
      <c r="D1" t="inlineStr">
        <is>
          <t>dy</t>
        </is>
      </c>
      <c r="E1" t="inlineStr">
        <is>
          <t>reference_A2D</t>
        </is>
      </c>
      <c r="F1" t="inlineStr">
        <is>
          <t>reference_A3D</t>
        </is>
      </c>
      <c r="G1" t="inlineStr">
        <is>
          <t>reference_ratio</t>
        </is>
      </c>
      <c r="H1" t="inlineStr">
        <is>
          <t>note</t>
        </is>
      </c>
    </row>
    <row r="2">
      <c r="A2" t="inlineStr">
        <is>
          <t>native_grid_reference</t>
        </is>
      </c>
      <c r="B2" t="n">
        <v>0.05</v>
      </c>
      <c r="C2" t="n">
        <v>0.05</v>
      </c>
      <c r="D2" t="n">
        <v>0.05</v>
      </c>
      <c r="E2" t="n">
        <v>671006.7225000001</v>
      </c>
      <c r="F2" t="n">
        <v>893148.8034962971</v>
      </c>
      <c r="G2" t="n">
        <v>1.33105790679511</v>
      </c>
      <c r="H2" t="inlineStr">
        <is>
          <t>Raster-grid reference evaluated on this GSD/grid.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timestamp_utc</t>
        </is>
      </c>
      <c r="B2" t="inlineStr">
        <is>
          <t>2026-03-17T12:02:59.612852+00:00</t>
        </is>
      </c>
    </row>
    <row r="3">
      <c r="A3" t="inlineStr">
        <is>
          <t>dem</t>
        </is>
      </c>
      <c r="B3" t="inlineStr">
        <is>
          <t>C:\d_surucusu\yuzey_alani_hesaplama\out_synth\synth_waves_16384x16384_dx0.05_seed0_20260315_213848.tif</t>
        </is>
      </c>
    </row>
    <row r="4">
      <c r="A4" t="inlineStr">
        <is>
          <t>dem_info.path</t>
        </is>
      </c>
      <c r="B4" t="inlineStr">
        <is>
          <t>C:\d_surucusu\yuzey_alani_hesaplama\out_synth\synth_waves_16384x16384_dx0.05_seed0_20260315_213848.tif</t>
        </is>
      </c>
    </row>
    <row r="5">
      <c r="A5" t="inlineStr">
        <is>
          <t>dem_info.crs</t>
        </is>
      </c>
      <c r="B5" t="inlineStr">
        <is>
          <t>EPSG:32636</t>
        </is>
      </c>
    </row>
    <row r="6">
      <c r="A6" t="inlineStr">
        <is>
          <t>dem_info.transform</t>
        </is>
      </c>
      <c r="B6" t="inlineStr">
        <is>
          <t>[0.05, 0.0, 500000.0, 0.0, -0.05, 4500000.0, 0.0, 0.0, 1.0]</t>
        </is>
      </c>
    </row>
    <row r="7">
      <c r="A7" t="inlineStr">
        <is>
          <t>dem_info.width</t>
        </is>
      </c>
      <c r="B7" t="n">
        <v>16384</v>
      </c>
    </row>
    <row r="8">
      <c r="A8" t="inlineStr">
        <is>
          <t>dem_info.height</t>
        </is>
      </c>
      <c r="B8" t="n">
        <v>16384</v>
      </c>
    </row>
    <row r="9">
      <c r="A9" t="inlineStr">
        <is>
          <t>dem_info.nodata</t>
        </is>
      </c>
      <c r="B9" t="n">
        <v>-9999</v>
      </c>
    </row>
    <row r="10">
      <c r="A10" t="inlineStr">
        <is>
          <t>dem_info.dtype</t>
        </is>
      </c>
      <c r="B10" t="inlineStr">
        <is>
          <t>float32</t>
        </is>
      </c>
    </row>
    <row r="11">
      <c r="A11" t="inlineStr">
        <is>
          <t>dem_info.dx</t>
        </is>
      </c>
      <c r="B11" t="n">
        <v>0.05</v>
      </c>
    </row>
    <row r="12">
      <c r="A12" t="inlineStr">
        <is>
          <t>dem_info.dy</t>
        </is>
      </c>
      <c r="B12" t="n">
        <v>0.05</v>
      </c>
    </row>
    <row r="13">
      <c r="A13" t="inlineStr">
        <is>
          <t>synthetic_reference.sidecar_path</t>
        </is>
      </c>
      <c r="B13" t="inlineStr">
        <is>
          <t>C:\d_surucusu\yuzey_alani_hesaplama\out_synth\synth_waves_16384x16384_dx0.05_seed0_20260315_213848.reference.json</t>
        </is>
      </c>
    </row>
    <row r="14">
      <c r="A14" t="inlineStr">
        <is>
          <t>synthetic_reference.terrain_family</t>
        </is>
      </c>
      <c r="B14" t="inlineStr">
        <is>
          <t>raster_first</t>
        </is>
      </c>
    </row>
    <row r="15">
      <c r="A15" t="inlineStr">
        <is>
          <t>synthetic_reference.has_continuous_ground_truth</t>
        </is>
      </c>
      <c r="B15" t="b">
        <v>0</v>
      </c>
    </row>
    <row r="16">
      <c r="A16" t="inlineStr">
        <is>
          <t>synthetic_reference.continuous_gt_is_gsd_independent</t>
        </is>
      </c>
      <c r="B16" t="b">
        <v>0</v>
      </c>
    </row>
    <row r="17">
      <c r="A17" t="inlineStr">
        <is>
          <t>synthetic_reference.continuous_gt_surface_area_m2</t>
        </is>
      </c>
      <c r="B17" t="inlineStr"/>
    </row>
    <row r="18">
      <c r="A18" t="inlineStr">
        <is>
          <t>synthetic_reference.continuous_gt_planar_area_m2</t>
        </is>
      </c>
      <c r="B18" t="inlineStr"/>
    </row>
    <row r="19">
      <c r="A19" t="inlineStr">
        <is>
          <t>synthetic_reference.native_reference_surface_area_m2</t>
        </is>
      </c>
      <c r="B19" t="n">
        <v>893148.8034962971</v>
      </c>
    </row>
    <row r="20">
      <c r="A20" t="inlineStr">
        <is>
          <t>synthetic_reference.resolution_count</t>
        </is>
      </c>
      <c r="B20" t="n">
        <v>1</v>
      </c>
    </row>
    <row r="21">
      <c r="A21" t="inlineStr">
        <is>
          <t>versions.python</t>
        </is>
      </c>
      <c r="B21" t="inlineStr">
        <is>
          <t>3.12.13 | packaged by conda-forge | (main, Mar  5 2026, 16:36:12) [MSC v.1944 64 bit (AMD64)]</t>
        </is>
      </c>
    </row>
    <row r="22">
      <c r="A22" t="inlineStr">
        <is>
          <t>versions.surface_area</t>
        </is>
      </c>
      <c r="B22" t="inlineStr">
        <is>
          <t>0.1.0</t>
        </is>
      </c>
    </row>
    <row r="23">
      <c r="A23" t="inlineStr">
        <is>
          <t>versions.numpy</t>
        </is>
      </c>
      <c r="B23" t="inlineStr">
        <is>
          <t>2.4.2</t>
        </is>
      </c>
    </row>
    <row r="24">
      <c r="A24" t="inlineStr">
        <is>
          <t>versions.numba</t>
        </is>
      </c>
      <c r="B24" t="inlineStr">
        <is>
          <t>0.64.0</t>
        </is>
      </c>
    </row>
    <row r="25">
      <c r="A25" t="inlineStr">
        <is>
          <t>versions.rasterio</t>
        </is>
      </c>
      <c r="B25" t="inlineStr">
        <is>
          <t>1.5.0</t>
        </is>
      </c>
    </row>
    <row r="26">
      <c r="A26" t="inlineStr">
        <is>
          <t>versions.scipy</t>
        </is>
      </c>
      <c r="B26" t="inlineStr">
        <is>
          <t>1.17.1</t>
        </is>
      </c>
    </row>
    <row r="27">
      <c r="A27" t="inlineStr">
        <is>
          <t>versions.pandas</t>
        </is>
      </c>
      <c r="B27" t="inlineStr">
        <is>
          <t>3.0.1</t>
        </is>
      </c>
    </row>
    <row r="28">
      <c r="A28" t="inlineStr">
        <is>
          <t>versions.matplotlib</t>
        </is>
      </c>
      <c r="B28" t="inlineStr">
        <is>
          <t>3.10.8</t>
        </is>
      </c>
    </row>
    <row r="29">
      <c r="A29" t="inlineStr">
        <is>
          <t>params.gsd_specs</t>
        </is>
      </c>
      <c r="B29" t="inlineStr">
        <is>
          <t>["native", "0.1", "0.5", "1", "2", "5", "10", "20", "50"]</t>
        </is>
      </c>
    </row>
    <row r="30">
      <c r="A30" t="inlineStr">
        <is>
          <t>params.gsd_list</t>
        </is>
      </c>
      <c r="B30" t="inlineStr">
        <is>
          <t>[0.05, 0.1, 0.5, 1.0, 2.0, 5.0, 10.0, 20.0, 50.0]</t>
        </is>
      </c>
    </row>
    <row r="31">
      <c r="A31" t="inlineStr">
        <is>
          <t>params.allow_upsample</t>
        </is>
      </c>
      <c r="B31" t="b">
        <v>0</v>
      </c>
    </row>
    <row r="32">
      <c r="A32" t="inlineStr">
        <is>
          <t>params.methods</t>
        </is>
      </c>
      <c r="B32" t="inlineStr">
        <is>
          <t>["jenness_window_8tri", "sector_adaptive_jenness_integral", "tin_2tri_cell", "gradient_multiplier"]</t>
        </is>
      </c>
    </row>
    <row r="33">
      <c r="A33" t="inlineStr">
        <is>
          <t>params.resampling</t>
        </is>
      </c>
      <c r="B33" t="inlineStr">
        <is>
          <t>bilinear</t>
        </is>
      </c>
    </row>
    <row r="34">
      <c r="A34" t="inlineStr">
        <is>
          <t>params.nodata_override</t>
        </is>
      </c>
      <c r="B34" t="inlineStr"/>
    </row>
    <row r="35">
      <c r="A35" t="inlineStr">
        <is>
          <t>params.slope_method</t>
        </is>
      </c>
      <c r="B35" t="inlineStr">
        <is>
          <t>horn</t>
        </is>
      </c>
    </row>
    <row r="36">
      <c r="A36" t="inlineStr">
        <is>
          <t>params.jenness_weight</t>
        </is>
      </c>
      <c r="B36" t="n">
        <v>0.25</v>
      </c>
    </row>
    <row r="37">
      <c r="A37" t="inlineStr">
        <is>
          <t>params.integral_N</t>
        </is>
      </c>
      <c r="B37" t="n">
        <v>5</v>
      </c>
    </row>
    <row r="38">
      <c r="A38" t="inlineStr">
        <is>
          <t>params.adaptive_rel_tol</t>
        </is>
      </c>
      <c r="B38" t="n">
        <v>0.0001</v>
      </c>
    </row>
    <row r="39">
      <c r="A39" t="inlineStr">
        <is>
          <t>params.adaptive_abs_tol</t>
        </is>
      </c>
      <c r="B39" t="n">
        <v>0</v>
      </c>
    </row>
    <row r="40">
      <c r="A40" t="inlineStr">
        <is>
          <t>params.adaptive_max_level</t>
        </is>
      </c>
      <c r="B40" t="n">
        <v>5</v>
      </c>
    </row>
    <row r="41">
      <c r="A41" t="inlineStr">
        <is>
          <t>params.adaptive_min_N</t>
        </is>
      </c>
      <c r="B41" t="n">
        <v>2</v>
      </c>
    </row>
    <row r="42">
      <c r="A42" t="inlineStr">
        <is>
          <t>params.adaptive_roughness_fastpath</t>
        </is>
      </c>
      <c r="B42" t="b">
        <v>1</v>
      </c>
    </row>
    <row r="43">
      <c r="A43" t="inlineStr">
        <is>
          <t>params.adaptive_roughness_threshold</t>
        </is>
      </c>
      <c r="B43" t="inlineStr"/>
    </row>
    <row r="44">
      <c r="A44" t="inlineStr">
        <is>
          <t>params.sector_jenness_rel_tol</t>
        </is>
      </c>
      <c r="B44" t="n">
        <v>0.0001</v>
      </c>
    </row>
    <row r="45">
      <c r="A45" t="inlineStr">
        <is>
          <t>params.sector_jenness_abs_tol</t>
        </is>
      </c>
      <c r="B45" t="n">
        <v>0</v>
      </c>
    </row>
    <row r="46">
      <c r="A46" t="inlineStr">
        <is>
          <t>params.sector_jenness_max_level</t>
        </is>
      </c>
      <c r="B46" t="n">
        <v>5</v>
      </c>
    </row>
    <row r="47">
      <c r="A47" t="inlineStr">
        <is>
          <t>params.sector_jenness_min_samples</t>
        </is>
      </c>
      <c r="B47" t="n">
        <v>3</v>
      </c>
    </row>
    <row r="48">
      <c r="A48" t="inlineStr">
        <is>
          <t>params.sigma_mode</t>
        </is>
      </c>
      <c r="B48" t="inlineStr">
        <is>
          <t>mult</t>
        </is>
      </c>
    </row>
    <row r="49">
      <c r="A49" t="inlineStr">
        <is>
          <t>params.sigma_m_values</t>
        </is>
      </c>
      <c r="B49" t="inlineStr">
        <is>
          <t>[2.0, 5.0]</t>
        </is>
      </c>
    </row>
    <row r="50">
      <c r="A50" t="inlineStr">
        <is>
          <t>params.roi</t>
        </is>
      </c>
      <c r="B50" t="inlineStr"/>
    </row>
    <row r="51">
      <c r="A51" t="inlineStr">
        <is>
          <t>params.roi_id_field</t>
        </is>
      </c>
      <c r="B51" t="inlineStr"/>
    </row>
    <row r="52">
      <c r="A52" t="inlineStr">
        <is>
          <t>params.roi_mode</t>
        </is>
      </c>
      <c r="B52" t="inlineStr">
        <is>
          <t>mask</t>
        </is>
      </c>
    </row>
    <row r="53">
      <c r="A53" t="inlineStr">
        <is>
          <t>params.roi_all_touched</t>
        </is>
      </c>
      <c r="B53" t="b">
        <v>0</v>
      </c>
    </row>
    <row r="54">
      <c r="A54" t="inlineStr">
        <is>
          <t>params.roi_only</t>
        </is>
      </c>
      <c r="B54" t="b">
        <v>0</v>
      </c>
    </row>
    <row r="55">
      <c r="A55" t="inlineStr">
        <is>
          <t>params.workers</t>
        </is>
      </c>
      <c r="B55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09"/>
  <sheetViews>
    <sheetView showGridLines="1" showRowColHeaders="1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34" customWidth="1" min="3" max="3"/>
    <col width="22" customWidth="1" min="4" max="4"/>
    <col width="47" customWidth="1" min="5" max="5"/>
    <col width="35" customWidth="1" min="6" max="6"/>
    <col width="28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24" customHeight="1">
      <c r="A1" s="1" t="inlineStr">
        <is>
          <t>Grafikler</t>
        </is>
      </c>
    </row>
    <row r="2" ht="20" customHeight="1">
      <c r="A2" s="2" t="inlineStr">
        <is>
          <t>Excel chart nesneleri ile duzenlenebilir dashboard gorunumu</t>
        </is>
      </c>
    </row>
    <row r="3" ht="22" customHeight="1">
      <c r="A3" s="3" t="inlineStr">
        <is>
          <t>Kaynak tablolar asagidadadir. Seri, eksen ve stil ayarlarini Excel icinden degistirebilirsiniz.</t>
        </is>
      </c>
    </row>
    <row r="4" ht="36" customHeight="1">
      <c r="A4" s="3" t="inlineStr">
        <is>
          <t>Ipuclari: legend veya seri ustune tiklayip renk/kalinlik degistirebilir, eksenleri sag tikla bicimlendirebilirsiniz.</t>
        </is>
      </c>
    </row>
    <row r="150" ht="20" customHeight="1">
      <c r="A150" s="4" t="inlineStr">
        <is>
          <t>A3D vs GSD - kaynak veri</t>
        </is>
      </c>
    </row>
    <row r="151" ht="22" customHeight="1">
      <c r="A151" s="5" t="inlineStr">
        <is>
          <t>gsd_m</t>
        </is>
      </c>
      <c r="B151" s="5" t="inlineStr">
        <is>
          <t>gradient_multiplier</t>
        </is>
      </c>
      <c r="C151" s="5" t="inlineStr">
        <is>
          <t>jenness_window_8tri</t>
        </is>
      </c>
      <c r="D151" s="5" t="inlineStr">
        <is>
          <t>sector_adaptive_jenness_integral</t>
        </is>
      </c>
      <c r="E151" s="5" t="inlineStr">
        <is>
          <t>tin_2tri_cell</t>
        </is>
      </c>
      <c r="F151" s="5" t="inlineStr">
        <is>
          <t>Native-grid reference (per GSD)</t>
        </is>
      </c>
    </row>
    <row r="152">
      <c r="A152" s="6" t="n">
        <v>0.05</v>
      </c>
      <c r="B152" s="6" t="n">
        <v>892745.0106842939</v>
      </c>
      <c r="C152" s="6" t="n">
        <v>893039.9645997046</v>
      </c>
      <c r="D152" s="6" t="n">
        <v>892784.435701928</v>
      </c>
      <c r="E152" s="6" t="n">
        <v>892804.2213458146</v>
      </c>
      <c r="F152" s="6" t="n">
        <v>893148.8034962971</v>
      </c>
    </row>
    <row r="153">
      <c r="A153" s="7" t="n">
        <v>0.1</v>
      </c>
      <c r="B153" s="7" t="n">
        <v>890773.4455961526</v>
      </c>
      <c r="C153" s="7" t="n">
        <v>891939.6963146538</v>
      </c>
      <c r="D153" s="7" t="n">
        <v>890929.1365545536</v>
      </c>
      <c r="E153" s="7" t="n">
        <v>891007.076413159</v>
      </c>
      <c r="F153" s="8" t="n"/>
    </row>
    <row r="154">
      <c r="A154" s="6" t="n">
        <v>0.5</v>
      </c>
      <c r="B154" s="6" t="n">
        <v>848163.8489722827</v>
      </c>
      <c r="C154" s="6" t="n">
        <v>870704.973393044</v>
      </c>
      <c r="D154" s="6" t="n">
        <v>851207.2959566524</v>
      </c>
      <c r="E154" s="6" t="n">
        <v>852246.5364738482</v>
      </c>
      <c r="F154" s="9" t="n"/>
    </row>
    <row r="155">
      <c r="A155" s="7" t="n">
        <v>1</v>
      </c>
      <c r="B155" s="7" t="n">
        <v>779327.516988745</v>
      </c>
      <c r="C155" s="7" t="n">
        <v>824837.4375531178</v>
      </c>
      <c r="D155" s="7" t="n">
        <v>785549.8011631097</v>
      </c>
      <c r="E155" s="7" t="n">
        <v>785745.5247228097</v>
      </c>
      <c r="F155" s="8" t="n"/>
    </row>
    <row r="156">
      <c r="A156" s="6" t="n">
        <v>2</v>
      </c>
      <c r="B156" s="6" t="n">
        <v>719343.7444988678</v>
      </c>
      <c r="C156" s="6" t="n">
        <v>751209.9102001537</v>
      </c>
      <c r="D156" s="6" t="n">
        <v>723509.2925323539</v>
      </c>
      <c r="E156" s="6" t="n">
        <v>722362.393474689</v>
      </c>
      <c r="F156" s="9" t="n"/>
    </row>
    <row r="157">
      <c r="A157" s="7" t="n">
        <v>5</v>
      </c>
      <c r="B157" s="7" t="n">
        <v>684223.2554623539</v>
      </c>
      <c r="C157" s="7" t="n">
        <v>692951.162376326</v>
      </c>
      <c r="D157" s="7" t="n">
        <v>685233.1827375842</v>
      </c>
      <c r="E157" s="7" t="n">
        <v>685480.0598512797</v>
      </c>
      <c r="F157" s="8" t="n"/>
    </row>
    <row r="158">
      <c r="A158" s="6" t="n">
        <v>10</v>
      </c>
      <c r="B158" s="6" t="n">
        <v>652883.0659933151</v>
      </c>
      <c r="C158" s="6" t="n">
        <v>662656.9275265477</v>
      </c>
      <c r="D158" s="6" t="n">
        <v>653767.2851465209</v>
      </c>
      <c r="E158" s="6" t="n">
        <v>654544.374232447</v>
      </c>
      <c r="F158" s="9" t="n"/>
    </row>
    <row r="159">
      <c r="A159" s="7" t="n">
        <v>20</v>
      </c>
      <c r="B159" s="7" t="n">
        <v>610446.7168100609</v>
      </c>
      <c r="C159" s="7" t="n">
        <v>616783.4187539758</v>
      </c>
      <c r="D159" s="7" t="n">
        <v>610582.2074102133</v>
      </c>
      <c r="E159" s="7" t="n">
        <v>611471.5326769032</v>
      </c>
      <c r="F159" s="8" t="n"/>
    </row>
    <row r="160">
      <c r="A160" s="6" t="n">
        <v>50</v>
      </c>
      <c r="B160" s="6" t="n">
        <v>490152.0212760532</v>
      </c>
      <c r="C160" s="6" t="n">
        <v>490220.687841516</v>
      </c>
      <c r="D160" s="6" t="n">
        <v>490153.6599426399</v>
      </c>
      <c r="E160" s="6" t="n">
        <v>490152.4437670121</v>
      </c>
      <c r="F160" s="9" t="n"/>
    </row>
    <row r="163" ht="20" customHeight="1">
      <c r="A163" s="4" t="inlineStr">
        <is>
          <t>A3D/A2D Ratio vs GSD - kaynak veri</t>
        </is>
      </c>
    </row>
    <row r="164" ht="22" customHeight="1">
      <c r="A164" s="5" t="inlineStr">
        <is>
          <t>gsd_m</t>
        </is>
      </c>
      <c r="B164" s="5" t="inlineStr">
        <is>
          <t>gradient_multiplier</t>
        </is>
      </c>
      <c r="C164" s="5" t="inlineStr">
        <is>
          <t>jenness_window_8tri</t>
        </is>
      </c>
      <c r="D164" s="5" t="inlineStr">
        <is>
          <t>sector_adaptive_jenness_integral</t>
        </is>
      </c>
      <c r="E164" s="5" t="inlineStr">
        <is>
          <t>tin_2tri_cell</t>
        </is>
      </c>
      <c r="F164" s="5" t="inlineStr">
        <is>
          <t>Native-grid reference (per GSD)</t>
        </is>
      </c>
    </row>
    <row r="165">
      <c r="A165" s="6" t="n">
        <v>0.05</v>
      </c>
      <c r="B165" s="6" t="n">
        <v>1.330618569142336</v>
      </c>
      <c r="C165" s="6" t="n">
        <v>1.331058192049426</v>
      </c>
      <c r="D165" s="6" t="n">
        <v>1.330677331341984</v>
      </c>
      <c r="E165" s="6" t="n">
        <v>1.330706821448166</v>
      </c>
      <c r="F165" s="6" t="n">
        <v>1.33105790679511</v>
      </c>
    </row>
    <row r="166">
      <c r="A166" s="7" t="n">
        <v>0.1</v>
      </c>
      <c r="B166" s="7" t="n">
        <v>1.328004230413147</v>
      </c>
      <c r="C166" s="7" t="n">
        <v>1.329742928277962</v>
      </c>
      <c r="D166" s="7" t="n">
        <v>1.328236341341482</v>
      </c>
      <c r="E166" s="7" t="n">
        <v>1.328352537510617</v>
      </c>
      <c r="F166" s="8" t="n"/>
    </row>
    <row r="167">
      <c r="A167" s="6" t="n">
        <v>0.5</v>
      </c>
      <c r="B167" s="6" t="n">
        <v>1.267573497546468</v>
      </c>
      <c r="C167" s="6" t="n">
        <v>1.301261011999336</v>
      </c>
      <c r="D167" s="6" t="n">
        <v>1.272121902601988</v>
      </c>
      <c r="E167" s="6" t="n">
        <v>1.273675038518792</v>
      </c>
      <c r="F167" s="9" t="n"/>
    </row>
    <row r="168">
      <c r="A168" s="7" t="n">
        <v>1</v>
      </c>
      <c r="B168" s="7" t="n">
        <v>1.167551101199787</v>
      </c>
      <c r="C168" s="7" t="n">
        <v>1.235731881054396</v>
      </c>
      <c r="D168" s="7" t="n">
        <v>1.176873028863561</v>
      </c>
      <c r="E168" s="7" t="n">
        <v>1.177166252511741</v>
      </c>
      <c r="F168" s="8" t="n"/>
    </row>
    <row r="169">
      <c r="A169" s="6" t="n">
        <v>2</v>
      </c>
      <c r="B169" s="6" t="n">
        <v>1.080329297173665</v>
      </c>
      <c r="C169" s="6" t="n">
        <v>1.128186740376528</v>
      </c>
      <c r="D169" s="6" t="n">
        <v>1.086585226433874</v>
      </c>
      <c r="E169" s="6" t="n">
        <v>1.084862783356595</v>
      </c>
      <c r="F169" s="9" t="n"/>
    </row>
    <row r="170">
      <c r="A170" s="7" t="n">
        <v>5</v>
      </c>
      <c r="B170" s="7" t="n">
        <v>1.042864282064249</v>
      </c>
      <c r="C170" s="7" t="n">
        <v>1.056166990361722</v>
      </c>
      <c r="D170" s="7" t="n">
        <v>1.044403570702003</v>
      </c>
      <c r="E170" s="7" t="n">
        <v>1.044779850405852</v>
      </c>
      <c r="F170" s="8" t="n"/>
    </row>
    <row r="171">
      <c r="A171" s="6" t="n">
        <v>10</v>
      </c>
      <c r="B171" s="6" t="n">
        <v>1.020129790614555</v>
      </c>
      <c r="C171" s="6" t="n">
        <v>1.035401449260231</v>
      </c>
      <c r="D171" s="6" t="n">
        <v>1.021511383041439</v>
      </c>
      <c r="E171" s="6" t="n">
        <v>1.022725584738198</v>
      </c>
      <c r="F171" s="9" t="n"/>
    </row>
    <row r="172">
      <c r="A172" s="7" t="n">
        <v>20</v>
      </c>
      <c r="B172" s="7" t="n">
        <v>1.003364097320942</v>
      </c>
      <c r="C172" s="7" t="n">
        <v>1.013779452258343</v>
      </c>
      <c r="D172" s="7" t="n">
        <v>1.0035867971897</v>
      </c>
      <c r="E172" s="7" t="n">
        <v>1.005048541546521</v>
      </c>
      <c r="F172" s="8" t="n"/>
    </row>
    <row r="173">
      <c r="A173" s="6" t="n">
        <v>50</v>
      </c>
      <c r="B173" s="6" t="n">
        <v>1.000310247502149</v>
      </c>
      <c r="C173" s="6" t="n">
        <v>1.000450383350033</v>
      </c>
      <c r="D173" s="6" t="n">
        <v>1.000313591719673</v>
      </c>
      <c r="E173" s="6" t="n">
        <v>1.000311109728596</v>
      </c>
      <c r="F173" s="9" t="n"/>
    </row>
    <row r="176" ht="20" customHeight="1">
      <c r="A176" s="4" t="inlineStr">
        <is>
          <t>Surface Excess vs GSD - kaynak veri</t>
        </is>
      </c>
    </row>
    <row r="177" ht="22" customHeight="1">
      <c r="A177" s="5" t="inlineStr">
        <is>
          <t>gsd_m</t>
        </is>
      </c>
      <c r="B177" s="5" t="inlineStr">
        <is>
          <t>gradient_multiplier</t>
        </is>
      </c>
      <c r="C177" s="5" t="inlineStr">
        <is>
          <t>jenness_window_8tri</t>
        </is>
      </c>
      <c r="D177" s="5" t="inlineStr">
        <is>
          <t>sector_adaptive_jenness_integral</t>
        </is>
      </c>
      <c r="E177" s="5" t="inlineStr">
        <is>
          <t>tin_2tri_cell</t>
        </is>
      </c>
      <c r="F177" s="5" t="inlineStr">
        <is>
          <t>Native-grid reference (per GSD)</t>
        </is>
      </c>
    </row>
    <row r="178">
      <c r="A178" s="6" t="n">
        <v>0.05</v>
      </c>
      <c r="B178" s="6" t="n">
        <v>33.06185691423362</v>
      </c>
      <c r="C178" s="6" t="n">
        <v>33.10581920494258</v>
      </c>
      <c r="D178" s="6" t="n">
        <v>33.06773313419844</v>
      </c>
      <c r="E178" s="6" t="n">
        <v>33.07068214481659</v>
      </c>
      <c r="F178" s="6" t="n">
        <v>33.10579067951096</v>
      </c>
    </row>
    <row r="179">
      <c r="A179" s="7" t="n">
        <v>0.1</v>
      </c>
      <c r="B179" s="7" t="n">
        <v>32.80042304131465</v>
      </c>
      <c r="C179" s="7" t="n">
        <v>32.97429282779616</v>
      </c>
      <c r="D179" s="7" t="n">
        <v>32.82363413414817</v>
      </c>
      <c r="E179" s="7" t="n">
        <v>32.83525375106171</v>
      </c>
      <c r="F179" s="8" t="n"/>
    </row>
    <row r="180">
      <c r="A180" s="6" t="n">
        <v>0.5</v>
      </c>
      <c r="B180" s="6" t="n">
        <v>26.75734975464679</v>
      </c>
      <c r="C180" s="6" t="n">
        <v>30.12610119993364</v>
      </c>
      <c r="D180" s="6" t="n">
        <v>27.21219026019877</v>
      </c>
      <c r="E180" s="6" t="n">
        <v>27.36750385187921</v>
      </c>
      <c r="F180" s="9" t="n"/>
    </row>
    <row r="181">
      <c r="A181" s="7" t="n">
        <v>1</v>
      </c>
      <c r="B181" s="7" t="n">
        <v>16.75511011997875</v>
      </c>
      <c r="C181" s="7" t="n">
        <v>23.5731881054396</v>
      </c>
      <c r="D181" s="7" t="n">
        <v>17.68730288635614</v>
      </c>
      <c r="E181" s="7" t="n">
        <v>17.71662525117412</v>
      </c>
      <c r="F181" s="8" t="n"/>
    </row>
    <row r="182">
      <c r="A182" s="6" t="n">
        <v>2</v>
      </c>
      <c r="B182" s="6" t="n">
        <v>8.032929717366489</v>
      </c>
      <c r="C182" s="6" t="n">
        <v>12.81867403765284</v>
      </c>
      <c r="D182" s="6" t="n">
        <v>8.658522643387446</v>
      </c>
      <c r="E182" s="6" t="n">
        <v>8.486278335659513</v>
      </c>
      <c r="F182" s="9" t="n"/>
    </row>
    <row r="183">
      <c r="A183" s="7" t="n">
        <v>5</v>
      </c>
      <c r="B183" s="7" t="n">
        <v>4.28642820642493</v>
      </c>
      <c r="C183" s="7" t="n">
        <v>5.616699036172235</v>
      </c>
      <c r="D183" s="7" t="n">
        <v>4.440357070200318</v>
      </c>
      <c r="E183" s="7" t="n">
        <v>4.477985040585231</v>
      </c>
      <c r="F183" s="8" t="n"/>
    </row>
    <row r="184">
      <c r="A184" s="6" t="n">
        <v>10</v>
      </c>
      <c r="B184" s="6" t="n">
        <v>2.012979061455478</v>
      </c>
      <c r="C184" s="6" t="n">
        <v>3.540144926023081</v>
      </c>
      <c r="D184" s="6" t="n">
        <v>2.151138304143907</v>
      </c>
      <c r="E184" s="6" t="n">
        <v>2.272558473819841</v>
      </c>
      <c r="F184" s="9" t="n"/>
    </row>
    <row r="185">
      <c r="A185" s="7" t="n">
        <v>20</v>
      </c>
      <c r="B185" s="7" t="n">
        <v>0.3364097320941672</v>
      </c>
      <c r="C185" s="7" t="n">
        <v>1.377945225834276</v>
      </c>
      <c r="D185" s="7" t="n">
        <v>0.3586797189699675</v>
      </c>
      <c r="E185" s="7" t="n">
        <v>0.504854154652068</v>
      </c>
      <c r="F185" s="8" t="n"/>
    </row>
    <row r="186">
      <c r="A186" s="6" t="n">
        <v>50</v>
      </c>
      <c r="B186" s="6" t="n">
        <v>0.03102475021492523</v>
      </c>
      <c r="C186" s="6" t="n">
        <v>0.04503833500326682</v>
      </c>
      <c r="D186" s="6" t="n">
        <v>0.03135917196732674</v>
      </c>
      <c r="E186" s="6" t="n">
        <v>0.03111097285961595</v>
      </c>
      <c r="F186" s="9" t="n"/>
    </row>
    <row r="189" ht="20" customHeight="1">
      <c r="A189" s="4" t="inlineStr">
        <is>
          <t>Relative Error vs GSD (Native-grid Reference) - kaynak veri</t>
        </is>
      </c>
    </row>
    <row r="190" ht="22" customHeight="1">
      <c r="A190" s="5" t="inlineStr">
        <is>
          <t>gsd_m</t>
        </is>
      </c>
      <c r="B190" s="5" t="inlineStr">
        <is>
          <t>gradient_multiplier</t>
        </is>
      </c>
      <c r="C190" s="5" t="inlineStr">
        <is>
          <t>jenness_window_8tri</t>
        </is>
      </c>
      <c r="D190" s="5" t="inlineStr">
        <is>
          <t>sector_adaptive_jenness_integral</t>
        </is>
      </c>
      <c r="E190" s="5" t="inlineStr">
        <is>
          <t>tin_2tri_cell</t>
        </is>
      </c>
    </row>
    <row r="191">
      <c r="A191" s="6" t="n">
        <v>0.05</v>
      </c>
      <c r="B191" s="6" t="n">
        <v>-0.0004521002664085706</v>
      </c>
      <c r="C191" s="6" t="n">
        <v>-0.0001218597574854705</v>
      </c>
      <c r="D191" s="6" t="n">
        <v>-0.0004079586659499177</v>
      </c>
      <c r="E191" s="6" t="n">
        <v>-0.0003858059811909996</v>
      </c>
    </row>
    <row r="194" ht="20" customHeight="1">
      <c r="A194" s="4" t="inlineStr">
        <is>
          <t>Runtime vs GSD - kaynak veri</t>
        </is>
      </c>
    </row>
    <row r="195" ht="22" customHeight="1">
      <c r="A195" s="5" t="inlineStr">
        <is>
          <t>gsd_m</t>
        </is>
      </c>
      <c r="B195" s="5" t="inlineStr">
        <is>
          <t>gradient_multiplier</t>
        </is>
      </c>
      <c r="C195" s="5" t="inlineStr">
        <is>
          <t>jenness_window_8tri</t>
        </is>
      </c>
      <c r="D195" s="5" t="inlineStr">
        <is>
          <t>sector_adaptive_jenness_integral</t>
        </is>
      </c>
      <c r="E195" s="5" t="inlineStr">
        <is>
          <t>tin_2tri_cell</t>
        </is>
      </c>
    </row>
    <row r="196">
      <c r="A196" s="6" t="n">
        <v>0.05</v>
      </c>
      <c r="B196" s="6" t="n">
        <v>5.896509898710065</v>
      </c>
      <c r="C196" s="6" t="n">
        <v>67.28639060340356</v>
      </c>
      <c r="D196" s="6" t="n">
        <v>2289.149732094957</v>
      </c>
      <c r="E196" s="6" t="n">
        <v>14.77582620014437</v>
      </c>
    </row>
    <row r="197">
      <c r="A197" s="7" t="n">
        <v>0.1</v>
      </c>
      <c r="B197" s="7" t="n">
        <v>7.305749700055458</v>
      </c>
      <c r="C197" s="7" t="n">
        <v>20.34535480040358</v>
      </c>
      <c r="D197" s="7" t="n">
        <v>538.0037466001813</v>
      </c>
      <c r="E197" s="7" t="n">
        <v>9.280537401733454</v>
      </c>
    </row>
    <row r="198">
      <c r="A198" s="6" t="n">
        <v>0.5</v>
      </c>
      <c r="B198" s="6" t="n">
        <v>3.560906799917575</v>
      </c>
      <c r="C198" s="6" t="n">
        <v>3.975218000181485</v>
      </c>
      <c r="D198" s="6" t="n">
        <v>26.10059239977272</v>
      </c>
      <c r="E198" s="6" t="n">
        <v>3.628384200274013</v>
      </c>
    </row>
    <row r="199">
      <c r="A199" s="7" t="n">
        <v>1</v>
      </c>
      <c r="B199" s="7" t="n">
        <v>3.447263300127815</v>
      </c>
      <c r="C199" s="7" t="n">
        <v>3.529805500118528</v>
      </c>
      <c r="D199" s="7" t="n">
        <v>11.04774129990255</v>
      </c>
      <c r="E199" s="7" t="n">
        <v>3.458510099968407</v>
      </c>
    </row>
    <row r="200">
      <c r="A200" s="6" t="n">
        <v>2</v>
      </c>
      <c r="B200" s="6" t="n">
        <v>3.436783100070897</v>
      </c>
      <c r="C200" s="6" t="n">
        <v>3.454989699996077</v>
      </c>
      <c r="D200" s="6" t="n">
        <v>4.551344499981496</v>
      </c>
      <c r="E200" s="6" t="n">
        <v>3.439205599832349</v>
      </c>
    </row>
    <row r="201">
      <c r="A201" s="7" t="n">
        <v>5</v>
      </c>
      <c r="B201" s="7" t="n">
        <v>3.445270399970468</v>
      </c>
      <c r="C201" s="7" t="n">
        <v>3.448333200009074</v>
      </c>
      <c r="D201" s="7" t="n">
        <v>3.5275219999603</v>
      </c>
      <c r="E201" s="7" t="n">
        <v>3.445966300030705</v>
      </c>
    </row>
    <row r="202">
      <c r="A202" s="6" t="n">
        <v>10</v>
      </c>
      <c r="B202" s="6" t="n">
        <v>3.563832999963779</v>
      </c>
      <c r="C202" s="6" t="n">
        <v>3.564190200006124</v>
      </c>
      <c r="D202" s="6" t="n">
        <v>3.589736399997491</v>
      </c>
      <c r="E202" s="6" t="n">
        <v>3.563970500021242</v>
      </c>
    </row>
    <row r="203">
      <c r="A203" s="7" t="n">
        <v>20</v>
      </c>
      <c r="B203" s="7" t="n">
        <v>3.771613999968395</v>
      </c>
      <c r="C203" s="7" t="n">
        <v>3.771806399978232</v>
      </c>
      <c r="D203" s="7" t="n">
        <v>3.778069099993445</v>
      </c>
      <c r="E203" s="7" t="n">
        <v>3.7717638000031</v>
      </c>
    </row>
    <row r="204">
      <c r="A204" s="6" t="n">
        <v>50</v>
      </c>
      <c r="B204" s="6" t="n">
        <v>5.14857740001753</v>
      </c>
      <c r="C204" s="6" t="n">
        <v>5.148636000056285</v>
      </c>
      <c r="D204" s="6" t="n">
        <v>5.151117800036445</v>
      </c>
      <c r="E204" s="6" t="n">
        <v>5.148661100014579</v>
      </c>
    </row>
    <row r="207" ht="20" customHeight="1">
      <c r="A207" s="4" t="inlineStr">
        <is>
          <t>Error vs Runtime - kaynak veri</t>
        </is>
      </c>
    </row>
    <row r="208" ht="22" customHeight="1">
      <c r="A208" s="5" t="inlineStr">
        <is>
          <t>gradient_multiplier runtime (s)</t>
        </is>
      </c>
      <c r="B208" s="5" t="inlineStr">
        <is>
          <t>gradient_multiplier</t>
        </is>
      </c>
      <c r="C208" s="5" t="inlineStr">
        <is>
          <t>jenness_window_8tri runtime (s)</t>
        </is>
      </c>
      <c r="D208" s="5" t="inlineStr">
        <is>
          <t>jenness_window_8tri</t>
        </is>
      </c>
      <c r="E208" s="5" t="inlineStr">
        <is>
          <t>sector_adaptive_jenness_integral runtime (s)</t>
        </is>
      </c>
      <c r="F208" s="5" t="inlineStr">
        <is>
          <t>sector_adaptive_jenness_integral</t>
        </is>
      </c>
      <c r="G208" s="5" t="inlineStr">
        <is>
          <t>tin_2tri_cell runtime (s)</t>
        </is>
      </c>
      <c r="H208" s="5" t="inlineStr">
        <is>
          <t>tin_2tri_cell</t>
        </is>
      </c>
    </row>
    <row r="209">
      <c r="A209" s="6" t="n">
        <v>5.896509898710065</v>
      </c>
      <c r="B209" s="6" t="n">
        <v>0.0004521002664085706</v>
      </c>
      <c r="C209" s="6" t="n">
        <v>67.28639060340356</v>
      </c>
      <c r="D209" s="6" t="n">
        <v>0.0001218597574854705</v>
      </c>
      <c r="E209" s="6" t="n">
        <v>2289.149732094957</v>
      </c>
      <c r="F209" s="6" t="n">
        <v>0.0004079586659499177</v>
      </c>
      <c r="G209" s="6" t="n">
        <v>14.77582620014437</v>
      </c>
      <c r="H209" s="6" t="n">
        <v>0.0003858059811909996</v>
      </c>
    </row>
  </sheetData>
  <mergeCells count="4">
    <mergeCell ref="A3:R3"/>
    <mergeCell ref="A2:R2"/>
    <mergeCell ref="A1:R1"/>
    <mergeCell ref="A4:R4"/>
  </mergeCells>
  <pageMargins left="0.75" right="0.75" top="1" bottom="1" header="0.5" footer="0.5"/>
  <drawing xmlns:r="http://schemas.openxmlformats.org/officeDocument/2006/relationships" r:id="rId1"/>
  <tableParts count="6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2026-03-17T12:10:06Z</dcterms:created>
  <dcterms:modified xsi:type="dcterms:W3CDTF">2026-03-17T12:10:06Z</dcterms:modified>
</cp:coreProperties>
</file>