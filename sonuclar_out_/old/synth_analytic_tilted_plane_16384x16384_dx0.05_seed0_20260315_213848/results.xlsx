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long" sheetId="1" state="visible" r:id="rId1"/>
    <sheet name="results_wide" sheetId="2" state="visible" r:id="rId2"/>
    <sheet name="reference_summary" sheetId="3" state="visible" r:id="rId3"/>
    <sheet name="run_info" sheetId="4" state="visible" r:id="rId4"/>
    <sheet name="grafik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######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F1F1F"/>
      <sz val="11"/>
    </font>
    <font>
      <color rgb="003C4858"/>
      <sz val="10"/>
    </font>
    <font>
      <b val="1"/>
      <color rgb="001F1F1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CE6F1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'grafikler'!B174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'grafikler'!$B$175:$B$183</f>
            </numRef>
          </yVal>
        </ser>
        <ser>
          <idx val="1"/>
          <order val="1"/>
          <tx>
            <strRef>
              <f>'grafikler'!C174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'grafikler'!$C$175:$C$183</f>
            </numRef>
          </yVal>
        </ser>
        <ser>
          <idx val="2"/>
          <order val="2"/>
          <tx>
            <strRef>
              <f>'grafikler'!D174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'grafikler'!$D$175:$D$183</f>
            </numRef>
          </yVal>
        </ser>
        <ser>
          <idx val="3"/>
          <order val="3"/>
          <tx>
            <strRef>
              <f>'grafikler'!E174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'grafikler'!$E$175:$E$183</f>
            </numRef>
          </yVal>
        </ser>
        <ser>
          <idx val="4"/>
          <order val="4"/>
          <tx>
            <strRef>
              <f>'grafikler'!F174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'grafikler'!$F$175:$F$183</f>
            </numRef>
          </yVal>
        </ser>
        <ser>
          <idx val="5"/>
          <order val="5"/>
          <tx>
            <strRef>
              <f>'grafikler'!G174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'grafikler'!$A$175:$A$183</f>
            </numRef>
          </xVal>
          <yVal>
            <numRef>
              <f>'grafikler'!$G$175:$G$183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(m^2)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A3D/A2D Ratio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'grafikler'!B187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'grafikler'!$B$188:$B$196</f>
            </numRef>
          </yVal>
        </ser>
        <ser>
          <idx val="1"/>
          <order val="1"/>
          <tx>
            <strRef>
              <f>'grafikler'!C187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'grafikler'!$C$188:$C$196</f>
            </numRef>
          </yVal>
        </ser>
        <ser>
          <idx val="2"/>
          <order val="2"/>
          <tx>
            <strRef>
              <f>'grafikler'!D187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'grafikler'!$D$188:$D$196</f>
            </numRef>
          </yVal>
        </ser>
        <ser>
          <idx val="3"/>
          <order val="3"/>
          <tx>
            <strRef>
              <f>'grafikler'!E187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'grafikler'!$E$188:$E$196</f>
            </numRef>
          </yVal>
        </ser>
        <ser>
          <idx val="4"/>
          <order val="4"/>
          <tx>
            <strRef>
              <f>'grafikler'!F187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'grafikler'!$F$188:$F$196</f>
            </numRef>
          </yVal>
        </ser>
        <ser>
          <idx val="5"/>
          <order val="5"/>
          <tx>
            <strRef>
              <f>'grafikler'!G187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'grafikler'!$A$188:$A$196</f>
            </numRef>
          </xVal>
          <yVal>
            <numRef>
              <f>'grafikler'!$G$188:$G$196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A3D / A2D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Surface Excess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'grafikler'!B200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'grafikler'!$B$201:$B$209</f>
            </numRef>
          </yVal>
        </ser>
        <ser>
          <idx val="1"/>
          <order val="1"/>
          <tx>
            <strRef>
              <f>'grafikler'!C200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'grafikler'!$C$201:$C$209</f>
            </numRef>
          </yVal>
        </ser>
        <ser>
          <idx val="2"/>
          <order val="2"/>
          <tx>
            <strRef>
              <f>'grafikler'!D200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'grafikler'!$D$201:$D$209</f>
            </numRef>
          </yVal>
        </ser>
        <ser>
          <idx val="3"/>
          <order val="3"/>
          <tx>
            <strRef>
              <f>'grafikler'!E200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'grafikler'!$E$201:$E$209</f>
            </numRef>
          </yVal>
        </ser>
        <ser>
          <idx val="4"/>
          <order val="4"/>
          <tx>
            <strRef>
              <f>'grafikler'!F200</f>
            </strRef>
          </tx>
          <spPr>
            <a:ln w="25400">
              <a:solidFill>
                <a:srgbClr val="1F1F1F"/>
              </a:solidFill>
              <a:prstDash val="sysDot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1F1F1F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'grafikler'!$F$201:$F$209</f>
            </numRef>
          </yVal>
        </ser>
        <ser>
          <idx val="5"/>
          <order val="5"/>
          <tx>
            <strRef>
              <f>'grafikler'!G200</f>
            </strRef>
          </tx>
          <spPr>
            <a:ln w="25400">
              <a:solidFill>
                <a:srgbClr val="C00000"/>
              </a:solidFill>
              <a:prstDash val="dash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C00000"/>
                </a:solidFill>
                <a:prstDash val="solid"/>
              </a:ln>
            </spPr>
          </marker>
          <xVal>
            <numRef>
              <f>'grafikler'!$A$201:$A$209</f>
            </numRef>
          </xVal>
          <yVal>
            <numRef>
              <f>'grafikler'!$G$201:$G$209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(A3D / A2D - 1) (%)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(Continuous Ground Truth)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'grafikler'!B213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'grafikler'!$B$214:$B$222</f>
            </numRef>
          </yVal>
        </ser>
        <ser>
          <idx val="1"/>
          <order val="1"/>
          <tx>
            <strRef>
              <f>'grafikler'!C213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'grafikler'!$C$214:$C$222</f>
            </numRef>
          </yVal>
        </ser>
        <ser>
          <idx val="2"/>
          <order val="2"/>
          <tx>
            <strRef>
              <f>'grafikler'!D213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'grafikler'!$D$214:$D$222</f>
            </numRef>
          </yVal>
        </ser>
        <ser>
          <idx val="3"/>
          <order val="3"/>
          <tx>
            <strRef>
              <f>'grafikler'!E213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'grafikler'!$A$214:$A$222</f>
            </numRef>
          </xVal>
          <yVal>
            <numRef>
              <f>'grafikler'!$E$214:$E$222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Relative Error vs GSD (Native-grid Reference)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'grafikler'!B226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'grafikler'!$B$227:$B$235</f>
            </numRef>
          </yVal>
        </ser>
        <ser>
          <idx val="1"/>
          <order val="1"/>
          <tx>
            <strRef>
              <f>'grafikler'!C226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'grafikler'!$C$227:$C$235</f>
            </numRef>
          </yVal>
        </ser>
        <ser>
          <idx val="2"/>
          <order val="2"/>
          <tx>
            <strRef>
              <f>'grafikler'!D226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'grafikler'!$D$227:$D$235</f>
            </numRef>
          </yVal>
        </ser>
        <ser>
          <idx val="3"/>
          <order val="3"/>
          <tx>
            <strRef>
              <f>'grafikler'!E226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'grafikler'!$A$227:$A$235</f>
            </numRef>
          </xVal>
          <yVal>
            <numRef>
              <f>'grafikler'!$E$227:$E$235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Relative error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Runtime vs GSD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'grafikler'!B239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'grafikler'!$B$240:$B$248</f>
            </numRef>
          </yVal>
        </ser>
        <ser>
          <idx val="1"/>
          <order val="1"/>
          <tx>
            <strRef>
              <f>'grafikler'!C239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'grafikler'!$C$240:$C$248</f>
            </numRef>
          </yVal>
        </ser>
        <ser>
          <idx val="2"/>
          <order val="2"/>
          <tx>
            <strRef>
              <f>'grafikler'!D239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'grafikler'!$D$240:$D$248</f>
            </numRef>
          </yVal>
        </ser>
        <ser>
          <idx val="3"/>
          <order val="3"/>
          <tx>
            <strRef>
              <f>'grafikler'!E239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'grafikler'!$A$240:$A$248</f>
            </numRef>
          </xVal>
          <yVal>
            <numRef>
              <f>'grafikler'!$E$240:$E$248</f>
            </numRef>
          </yVal>
        </ser>
        <axId val="10"/>
        <axId val="20"/>
      </scatterChart>
      <valAx>
        <axId val="10"/>
        <scaling>
          <logBase val="10"/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GSD (m)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Error vs Runtime</a:t>
            </a:r>
          </a:p>
        </rich>
      </tx>
    </title>
    <plotArea>
      <scatterChart>
        <scatterStyle val="lineMarker"/>
        <varyColors val="0"/>
        <ser>
          <idx val="0"/>
          <order val="0"/>
          <tx>
            <strRef>
              <f>'grafikler'!B252</f>
            </strRef>
          </tx>
          <spPr>
            <a:ln w="19050">
              <a:solidFill>
                <a:srgbClr val="4E79A7"/>
              </a:solidFill>
              <a:prstDash val="solid"/>
            </a:ln>
          </spPr>
          <marker>
            <symbol val="circle"/>
            <size val="7"/>
            <spPr>
              <a:solidFill>
                <a:srgbClr val="FFFFFF"/>
              </a:solidFill>
              <a:ln>
                <a:solidFill>
                  <a:srgbClr val="4E79A7"/>
                </a:solidFill>
                <a:prstDash val="solid"/>
              </a:ln>
            </spPr>
          </marker>
          <xVal>
            <numRef>
              <f>'grafikler'!$A$253:$A$261</f>
            </numRef>
          </xVal>
          <yVal>
            <numRef>
              <f>'grafikler'!$B$253:$B$261</f>
            </numRef>
          </yVal>
        </ser>
        <ser>
          <idx val="1"/>
          <order val="1"/>
          <tx>
            <strRef>
              <f>'grafikler'!D252</f>
            </strRef>
          </tx>
          <spPr>
            <a:ln w="19050">
              <a:solidFill>
                <a:srgbClr val="F28E2B"/>
              </a:solidFill>
              <a:prstDash val="solid"/>
            </a:ln>
          </spPr>
          <marker>
            <symbol val="triangle"/>
            <size val="7"/>
            <spPr>
              <a:solidFill>
                <a:srgbClr val="FFFFFF"/>
              </a:solidFill>
              <a:ln>
                <a:solidFill>
                  <a:srgbClr val="F28E2B"/>
                </a:solidFill>
                <a:prstDash val="solid"/>
              </a:ln>
            </spPr>
          </marker>
          <xVal>
            <numRef>
              <f>'grafikler'!$C$253:$C$261</f>
            </numRef>
          </xVal>
          <yVal>
            <numRef>
              <f>'grafikler'!$D$253:$D$261</f>
            </numRef>
          </yVal>
        </ser>
        <ser>
          <idx val="2"/>
          <order val="2"/>
          <tx>
            <strRef>
              <f>'grafikler'!F252</f>
            </strRef>
          </tx>
          <spPr>
            <a:ln w="19050">
              <a:solidFill>
                <a:srgbClr val="59A14F"/>
              </a:solidFill>
              <a:prstDash val="solid"/>
            </a:ln>
          </spPr>
          <marker>
            <symbol val="diamond"/>
            <size val="7"/>
            <spPr>
              <a:solidFill>
                <a:srgbClr val="FFFFFF"/>
              </a:solidFill>
              <a:ln>
                <a:solidFill>
                  <a:srgbClr val="59A14F"/>
                </a:solidFill>
                <a:prstDash val="solid"/>
              </a:ln>
            </spPr>
          </marker>
          <xVal>
            <numRef>
              <f>'grafikler'!$E$253:$E$261</f>
            </numRef>
          </xVal>
          <yVal>
            <numRef>
              <f>'grafikler'!$F$253:$F$261</f>
            </numRef>
          </yVal>
        </ser>
        <ser>
          <idx val="3"/>
          <order val="3"/>
          <tx>
            <strRef>
              <f>'grafikler'!H252</f>
            </strRef>
          </tx>
          <spPr>
            <a:ln w="19050">
              <a:solidFill>
                <a:srgbClr val="E15759"/>
              </a:solidFill>
              <a:prstDash val="solid"/>
            </a:ln>
          </spPr>
          <marker>
            <symbol val="square"/>
            <size val="7"/>
            <spPr>
              <a:solidFill>
                <a:srgbClr val="FFFFFF"/>
              </a:solidFill>
              <a:ln>
                <a:solidFill>
                  <a:srgbClr val="E15759"/>
                </a:solidFill>
                <a:prstDash val="solid"/>
              </a:ln>
            </spPr>
          </marker>
          <xVal>
            <numRef>
              <f>'grafikler'!$G$253:$G$261</f>
            </numRef>
          </xVal>
          <yVal>
            <numRef>
              <f>'grafikler'!$H$253:$H$261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Runtime (s)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20"/>
        <crosses val="min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|Relative error vs continuous GT| (-)</a:t>
                </a:r>
              </a:p>
            </rich>
          </tx>
        </title>
        <numFmt formatCode="0.###" sourceLinked="0"/>
        <majorTickMark val="out"/>
        <minorTickMark val="none"/>
        <tickLblPos val="nextTo"/>
        <crossAx val="10"/>
        <crosses val="mi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7560000" cy="41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28</row>
      <rowOff>0</rowOff>
    </from>
    <ext cx="7560000" cy="41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51</row>
      <rowOff>0</rowOff>
    </from>
    <ext cx="7560000" cy="41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74</row>
      <rowOff>0</rowOff>
    </from>
    <ext cx="7560000" cy="41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97</row>
      <rowOff>0</rowOff>
    </from>
    <ext cx="7560000" cy="41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120</row>
      <rowOff>0</rowOff>
    </from>
    <ext cx="7560000" cy="41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0</col>
      <colOff>0</colOff>
      <row>143</row>
      <rowOff>0</rowOff>
    </from>
    <ext cx="7560000" cy="414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sultsLongTable" displayName="ResultsLongTable" ref="A1:X55" headerRowCount="1">
  <autoFilter ref="A1:X55"/>
  <tableColumns count="24">
    <tableColumn id="1" name="gsd_m"/>
    <tableColumn id="2" name="dx"/>
    <tableColumn id="3" name="dy"/>
    <tableColumn id="4" name="method"/>
    <tableColumn id="5" name="A2D"/>
    <tableColumn id="6" name="A3D"/>
    <tableColumn id="7" name="ratio"/>
    <tableColumn id="8" name="valid_cells"/>
    <tableColumn id="9" name="runtime_sec"/>
    <tableColumn id="10" name="resample_runtime_sec"/>
    <tableColumn id="11" name="note"/>
    <tableColumn id="12" name="synthetic_native_ref_A2D"/>
    <tableColumn id="13" name="synthetic_native_ref_A3D"/>
    <tableColumn id="14" name="synthetic_native_ref_ratio"/>
    <tableColumn id="15" name="A3D_synthetic_native_ref_diff"/>
    <tableColumn id="16" name="A3D_synthetic_native_ref_rel_err"/>
    <tableColumn id="17" name="continuous_gt_A2D"/>
    <tableColumn id="18" name="continuous_gt_A3D"/>
    <tableColumn id="19" name="continuous_gt_ratio"/>
    <tableColumn id="20" name="A3D_continuous_gt_diff"/>
    <tableColumn id="21" name="A3D_continuous_gt_rel_err"/>
    <tableColumn id="22" name="sector_jenness_avg_level"/>
    <tableColumn id="23" name="sector_jenness_max_level_used"/>
    <tableColumn id="24" name="sector_jenness_refined_frac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ltsWideTable" displayName="ResultsWideTable" ref="A1:E10" headerRowCount="1">
  <autoFilter ref="A1:E10"/>
  <tableColumns count="5">
    <tableColumn id="1" name="gsd_m"/>
    <tableColumn id="2" name="gradient_multiplier_A3D"/>
    <tableColumn id="3" name="jenness_window_8tri_A3D"/>
    <tableColumn id="4" name="sector_adaptive_jenness_integral_A3D"/>
    <tableColumn id="5" name="tin_2tri_cell_A3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ferenceSummaryTable" displayName="ReferenceSummaryTable" ref="A1:H11" headerRowCount="1">
  <autoFilter ref="A1:H11"/>
  <tableColumns count="8">
    <tableColumn id="1" name="reference_kind"/>
    <tableColumn id="2" name="gsd_m"/>
    <tableColumn id="3" name="dx"/>
    <tableColumn id="4" name="dy"/>
    <tableColumn id="5" name="reference_A2D"/>
    <tableColumn id="6" name="reference_A3D"/>
    <tableColumn id="7" name="reference_ratio"/>
    <tableColumn id="8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RunInfoTable" displayName="RunInfoTable" ref="A1:B55" headerRowCount="1">
  <autoFilter ref="A1:B55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A3D_vs_GSD___kaynak_veri_173" displayName="A3D_vs_GSD___kaynak_veri_173" ref="A174:G183" headerRowCount="1">
  <autoFilter ref="A174:G183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3D_A2D_Ratio_vs_GSD___kaynak_veri_186" displayName="A3D_A2D_Ratio_vs_GSD___kaynak_veri_186" ref="A187:G196" headerRowCount="1">
  <autoFilter ref="A187:G196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urface_Excess_vs_GSD___kaynak_veri_199" displayName="Surface_Excess_vs_GSD___kaynak_veri_199" ref="A200:G209" headerRowCount="1">
  <autoFilter ref="A200:G209"/>
  <tableColumns count="7">
    <tableColumn id="1" name="gsd_m"/>
    <tableColumn id="2" name="gradient_multiplier"/>
    <tableColumn id="3" name="jenness_window_8tri"/>
    <tableColumn id="4" name="sector_adaptive_jenness_integral"/>
    <tableColumn id="5" name="tin_2tri_cell"/>
    <tableColumn id="6" name="Native-grid reference (per GSD)"/>
    <tableColumn id="7" name="Continuous ground truth (GSD-independent)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Relative_Error_vs_GSD__Continuous_Ground_Truth____kaynak_veri_212" displayName="Relative_Error_vs_GSD__Continuous_Ground_Truth____kaynak_veri_212" ref="A213:E222" headerRowCount="1">
  <autoFilter ref="A213:E222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Relative_Error_vs_GSD__Native_grid_Reference____kaynak_veri_225" displayName="Relative_Error_vs_GSD__Native_grid_Reference____kaynak_veri_225" ref="A226:E235" headerRowCount="1">
  <autoFilter ref="A226:E235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Runtime_vs_GSD___kaynak_veri_238" displayName="Runtime_vs_GSD___kaynak_veri_238" ref="A239:E248" headerRowCount="1">
  <autoFilter ref="A239:E248"/>
  <tableColumns count="5">
    <tableColumn id="1" name="gsd_m"/>
    <tableColumn id="2" name="gradient_multiplier"/>
    <tableColumn id="3" name="jenness_window_8tri"/>
    <tableColumn id="4" name="sector_adaptive_jenness_integral"/>
    <tableColumn id="5" name="tin_2tri_cell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Error_vs_Runtime___kaynak_veri_251" displayName="Error_vs_Runtime___kaynak_veri_251" ref="A252:H261" headerRowCount="1">
  <autoFilter ref="A252:H261"/>
  <tableColumns count="8">
    <tableColumn id="1" name="gradient_multiplier runtime (s)"/>
    <tableColumn id="2" name="gradient_multiplier"/>
    <tableColumn id="3" name="jenness_window_8tri runtime (s)"/>
    <tableColumn id="4" name="jenness_window_8tri"/>
    <tableColumn id="5" name="sector_adaptive_jenness_integral runtime (s)"/>
    <tableColumn id="6" name="sector_adaptive_jenness_integral"/>
    <tableColumn id="7" name="tin_2tri_cell runtime (s)"/>
    <tableColumn id="8" name="tin_2tri_cel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5.xml" Id="rId2" /><Relationship Type="http://schemas.openxmlformats.org/officeDocument/2006/relationships/table" Target="/xl/tables/table6.xml" Id="rId3" /><Relationship Type="http://schemas.openxmlformats.org/officeDocument/2006/relationships/table" Target="/xl/tables/table7.xml" Id="rId4" /><Relationship Type="http://schemas.openxmlformats.org/officeDocument/2006/relationships/table" Target="/xl/tables/table8.xml" Id="rId5" /><Relationship Type="http://schemas.openxmlformats.org/officeDocument/2006/relationships/table" Target="/xl/tables/table9.xml" Id="rId6" /><Relationship Type="http://schemas.openxmlformats.org/officeDocument/2006/relationships/table" Target="/xl/tables/table10.xml" Id="rId7" /><Relationship Type="http://schemas.openxmlformats.org/officeDocument/2006/relationships/table" Target="/xl/tables/table11.xm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dx</t>
        </is>
      </c>
      <c r="C1" t="inlineStr">
        <is>
          <t>dy</t>
        </is>
      </c>
      <c r="D1" t="inlineStr">
        <is>
          <t>method</t>
        </is>
      </c>
      <c r="E1" t="inlineStr">
        <is>
          <t>A2D</t>
        </is>
      </c>
      <c r="F1" t="inlineStr">
        <is>
          <t>A3D</t>
        </is>
      </c>
      <c r="G1" t="inlineStr">
        <is>
          <t>ratio</t>
        </is>
      </c>
      <c r="H1" t="inlineStr">
        <is>
          <t>valid_cells</t>
        </is>
      </c>
      <c r="I1" t="inlineStr">
        <is>
          <t>runtime_sec</t>
        </is>
      </c>
      <c r="J1" t="inlineStr">
        <is>
          <t>resample_runtime_sec</t>
        </is>
      </c>
      <c r="K1" t="inlineStr">
        <is>
          <t>note</t>
        </is>
      </c>
      <c r="L1" t="inlineStr">
        <is>
          <t>synthetic_native_ref_A2D</t>
        </is>
      </c>
      <c r="M1" t="inlineStr">
        <is>
          <t>synthetic_native_ref_A3D</t>
        </is>
      </c>
      <c r="N1" t="inlineStr">
        <is>
          <t>synthetic_native_ref_ratio</t>
        </is>
      </c>
      <c r="O1" t="inlineStr">
        <is>
          <t>A3D_synthetic_native_ref_diff</t>
        </is>
      </c>
      <c r="P1" t="inlineStr">
        <is>
          <t>A3D_synthetic_native_ref_rel_err</t>
        </is>
      </c>
      <c r="Q1" t="inlineStr">
        <is>
          <t>continuous_gt_A2D</t>
        </is>
      </c>
      <c r="R1" t="inlineStr">
        <is>
          <t>continuous_gt_A3D</t>
        </is>
      </c>
      <c r="S1" t="inlineStr">
        <is>
          <t>continuous_gt_ratio</t>
        </is>
      </c>
      <c r="T1" t="inlineStr">
        <is>
          <t>A3D_continuous_gt_diff</t>
        </is>
      </c>
      <c r="U1" t="inlineStr">
        <is>
          <t>A3D_continuous_gt_rel_err</t>
        </is>
      </c>
      <c r="V1" t="inlineStr">
        <is>
          <t>sector_jenness_avg_level</t>
        </is>
      </c>
      <c r="W1" t="inlineStr">
        <is>
          <t>sector_jenness_max_level_used</t>
        </is>
      </c>
      <c r="X1" t="inlineStr">
        <is>
          <t>sector_jenness_refined_fraction</t>
        </is>
      </c>
    </row>
    <row r="2">
      <c r="A2" t="n">
        <v>0.05</v>
      </c>
      <c r="B2" t="n">
        <v>0.05</v>
      </c>
      <c r="C2" t="n">
        <v>0.05</v>
      </c>
      <c r="D2" t="inlineStr">
        <is>
          <t>gradient_multiplier</t>
        </is>
      </c>
      <c r="E2" t="n">
        <v>670924.8100000001</v>
      </c>
      <c r="F2" t="n">
        <v>673903.8124909609</v>
      </c>
      <c r="G2" t="n">
        <v>1.004440143584735</v>
      </c>
      <c r="H2" t="n">
        <v>268369924</v>
      </c>
      <c r="I2" t="n">
        <v>12.81715899932897</v>
      </c>
      <c r="J2" t="n">
        <v>0</v>
      </c>
      <c r="K2" t="inlineStr">
        <is>
          <t>resampling=native;dx=0.05;dy=0.05;slope_method=horn;runtime=compute_only</t>
        </is>
      </c>
      <c r="L2" t="n">
        <v>671006.7225000001</v>
      </c>
      <c r="M2" t="n">
        <v>673986.0930456421</v>
      </c>
      <c r="N2" t="n">
        <v>1.004440150069647</v>
      </c>
      <c r="O2" t="n">
        <v>-82.28055468120147</v>
      </c>
      <c r="P2" t="n">
        <v>-0.0001220804932478473</v>
      </c>
      <c r="Q2" t="n">
        <v>671088.6400000001</v>
      </c>
      <c r="R2" t="n">
        <v>674068.3692366892</v>
      </c>
      <c r="S2" t="n">
        <v>1.004440142566992</v>
      </c>
      <c r="T2" t="n">
        <v>-164.556745728245</v>
      </c>
      <c r="U2" t="n">
        <v>-0.0002441247108428898</v>
      </c>
      <c r="V2" t="inlineStr"/>
      <c r="W2" t="inlineStr"/>
      <c r="X2" t="inlineStr"/>
    </row>
    <row r="3">
      <c r="A3" t="n">
        <v>0.05</v>
      </c>
      <c r="B3" t="n">
        <v>0.05</v>
      </c>
      <c r="C3" t="n">
        <v>0.05</v>
      </c>
      <c r="D3" t="inlineStr">
        <is>
          <t>jenness_window_8tri</t>
        </is>
      </c>
      <c r="E3" t="n">
        <v>670924.8100000001</v>
      </c>
      <c r="F3" t="n">
        <v>673903.8168679982</v>
      </c>
      <c r="G3" t="n">
        <v>1.004440150108621</v>
      </c>
      <c r="H3" t="n">
        <v>268369924</v>
      </c>
      <c r="I3" t="n">
        <v>87.00646970007801</v>
      </c>
      <c r="J3" t="n">
        <v>0</v>
      </c>
      <c r="K3" t="inlineStr">
        <is>
          <t>resampling=native;dx=0.05;dy=0.05;weight=0.25;triangle=heron;runtime=compute_only</t>
        </is>
      </c>
      <c r="L3" t="n">
        <v>671006.7225000001</v>
      </c>
      <c r="M3" t="n">
        <v>673986.0930456421</v>
      </c>
      <c r="N3" t="n">
        <v>1.004440150069647</v>
      </c>
      <c r="O3" t="n">
        <v>-82.27617764391471</v>
      </c>
      <c r="P3" t="n">
        <v>-0.0001220739989932448</v>
      </c>
      <c r="Q3" t="n">
        <v>671088.6400000001</v>
      </c>
      <c r="R3" t="n">
        <v>674068.3692366892</v>
      </c>
      <c r="S3" t="n">
        <v>1.004440142566992</v>
      </c>
      <c r="T3" t="n">
        <v>-164.5523686909582</v>
      </c>
      <c r="U3" t="n">
        <v>-0.0002441182173809703</v>
      </c>
      <c r="V3" t="inlineStr"/>
      <c r="W3" t="inlineStr"/>
      <c r="X3" t="inlineStr"/>
    </row>
    <row r="4">
      <c r="A4" t="n">
        <v>0.05</v>
      </c>
      <c r="B4" t="n">
        <v>0.05</v>
      </c>
      <c r="C4" t="n">
        <v>0.05</v>
      </c>
      <c r="D4" t="inlineStr">
        <is>
          <t>sector_adaptive_jenness_integral</t>
        </is>
      </c>
      <c r="E4" t="n">
        <v>670924.8100000001</v>
      </c>
      <c r="F4" t="n">
        <v>673903.8124514822</v>
      </c>
      <c r="G4" t="n">
        <v>1.004440143525893</v>
      </c>
      <c r="H4" t="n">
        <v>268369924</v>
      </c>
      <c r="I4" t="n">
        <v>455.4166456009843</v>
      </c>
      <c r="J4" t="n">
        <v>0</v>
      </c>
      <c r="K4" t="inlineStr">
        <is>
          <t>resampling=native;dx=0.05;dy=0.05;surface=quadratic_ls_3x3;partition=8_sector_cell;min_samples=3;rel_tol=0.0001;abs_tol=0;max_level=5;runtime=compute_only</t>
        </is>
      </c>
      <c r="L4" t="n">
        <v>671006.7225000001</v>
      </c>
      <c r="M4" t="n">
        <v>673986.0930456421</v>
      </c>
      <c r="N4" t="n">
        <v>1.004440150069647</v>
      </c>
      <c r="O4" t="n">
        <v>-82.2805941599654</v>
      </c>
      <c r="P4" t="n">
        <v>-0.0001220805518228896</v>
      </c>
      <c r="Q4" t="n">
        <v>671088.6400000001</v>
      </c>
      <c r="R4" t="n">
        <v>674068.3692366892</v>
      </c>
      <c r="S4" t="n">
        <v>1.004440142566992</v>
      </c>
      <c r="T4" t="n">
        <v>-164.5567852070089</v>
      </c>
      <c r="U4" t="n">
        <v>-0.0002441247694107825</v>
      </c>
      <c r="V4" t="n">
        <v>0.1209479904312974</v>
      </c>
      <c r="W4" t="n">
        <v>1</v>
      </c>
      <c r="X4" t="n">
        <v>0.1209479904312974</v>
      </c>
    </row>
    <row r="5">
      <c r="A5" t="n">
        <v>0.05</v>
      </c>
      <c r="B5" t="n">
        <v>0.05</v>
      </c>
      <c r="C5" t="n">
        <v>0.05</v>
      </c>
      <c r="D5" t="inlineStr">
        <is>
          <t>tin_2tri_cell</t>
        </is>
      </c>
      <c r="E5" t="n">
        <v>670924.8100000001</v>
      </c>
      <c r="F5" t="n">
        <v>673903.8128086656</v>
      </c>
      <c r="G5" t="n">
        <v>1.004440144058267</v>
      </c>
      <c r="H5" t="n">
        <v>268369924</v>
      </c>
      <c r="I5" t="n">
        <v>23.09616840200033</v>
      </c>
      <c r="J5" t="n">
        <v>0</v>
      </c>
      <c r="K5" t="inlineStr">
        <is>
          <t>resampling=native;dx=0.05;dy=0.05;triangles=2;runtime=compute_only</t>
        </is>
      </c>
      <c r="L5" t="n">
        <v>671006.7225000001</v>
      </c>
      <c r="M5" t="n">
        <v>673986.0930456421</v>
      </c>
      <c r="N5" t="n">
        <v>1.004440150069647</v>
      </c>
      <c r="O5" t="n">
        <v>-82.28023697657045</v>
      </c>
      <c r="P5" t="n">
        <v>-0.0001220800218662649</v>
      </c>
      <c r="Q5" t="n">
        <v>671088.6400000001</v>
      </c>
      <c r="R5" t="n">
        <v>674068.3692366892</v>
      </c>
      <c r="S5" t="n">
        <v>1.004440142566992</v>
      </c>
      <c r="T5" t="n">
        <v>-164.556428023614</v>
      </c>
      <c r="U5" t="n">
        <v>-0.0002441242395188439</v>
      </c>
      <c r="V5" t="inlineStr"/>
      <c r="W5" t="inlineStr"/>
      <c r="X5" t="inlineStr"/>
    </row>
    <row r="6">
      <c r="A6" t="n">
        <v>0.05</v>
      </c>
      <c r="B6" t="n">
        <v>0.05</v>
      </c>
      <c r="C6" t="n">
        <v>0.05</v>
      </c>
      <c r="D6" t="inlineStr">
        <is>
          <t>native_grid_reference</t>
        </is>
      </c>
      <c r="E6" t="n">
        <v>671006.7225000001</v>
      </c>
      <c r="F6" t="n">
        <v>673986.0930456421</v>
      </c>
      <c r="G6" t="n">
        <v>1.004440150069647</v>
      </c>
      <c r="H6" t="inlineStr"/>
      <c r="I6" t="inlineStr"/>
      <c r="J6" t="inlineStr"/>
      <c r="K6" t="inlineStr">
        <is>
          <t>reference_row=native_grid_reference</t>
        </is>
      </c>
      <c r="L6" t="n">
        <v>671006.7225000001</v>
      </c>
      <c r="M6" t="n">
        <v>673986.0930456421</v>
      </c>
      <c r="N6" t="n">
        <v>1.004440150069647</v>
      </c>
      <c r="O6" t="n">
        <v>0</v>
      </c>
      <c r="P6" t="n">
        <v>0</v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0.05</v>
      </c>
      <c r="B7" t="n">
        <v>0.05</v>
      </c>
      <c r="C7" t="n">
        <v>0.05</v>
      </c>
      <c r="D7" t="inlineStr">
        <is>
          <t>continuous_ground_truth</t>
        </is>
      </c>
      <c r="E7" t="n">
        <v>671088.6400000001</v>
      </c>
      <c r="F7" t="n">
        <v>674068.3692366892</v>
      </c>
      <c r="G7" t="n">
        <v>1.004440142566992</v>
      </c>
      <c r="H7" t="inlineStr"/>
      <c r="I7" t="inlineStr"/>
      <c r="J7" t="inlineStr"/>
      <c r="K7" t="inlineStr">
        <is>
          <t>reference_row=continuous_ground_truth</t>
        </is>
      </c>
      <c r="L7" t="inlineStr"/>
      <c r="M7" t="inlineStr"/>
      <c r="N7" t="inlineStr"/>
      <c r="O7" t="inlineStr"/>
      <c r="P7" t="inlineStr"/>
      <c r="Q7" t="n">
        <v>671088.6400000001</v>
      </c>
      <c r="R7" t="n">
        <v>674068.3692366892</v>
      </c>
      <c r="S7" t="n">
        <v>1.004440142566992</v>
      </c>
      <c r="T7" t="n">
        <v>0</v>
      </c>
      <c r="U7" t="n">
        <v>0</v>
      </c>
      <c r="V7" t="inlineStr"/>
      <c r="W7" t="inlineStr"/>
      <c r="X7" t="inlineStr"/>
    </row>
    <row r="8">
      <c r="A8" t="n">
        <v>0.1</v>
      </c>
      <c r="B8" t="n">
        <v>0.1</v>
      </c>
      <c r="C8" t="n">
        <v>0.1</v>
      </c>
      <c r="D8" t="inlineStr">
        <is>
          <t>gradient_multiplier</t>
        </is>
      </c>
      <c r="E8" t="n">
        <v>670761</v>
      </c>
      <c r="F8" t="n">
        <v>673739.1988945567</v>
      </c>
      <c r="G8" t="n">
        <v>1.004440029898215</v>
      </c>
      <c r="H8" t="n">
        <v>67076100</v>
      </c>
      <c r="I8" t="n">
        <v>1.047820999054238</v>
      </c>
      <c r="J8" t="n">
        <v>3.302397000021301</v>
      </c>
      <c r="K8" t="inlineStr">
        <is>
          <t>resampling=bilinear;dx=0.1;dy=0.1;slope_method=horn;runtime=compute_only</t>
        </is>
      </c>
      <c r="L8" t="n">
        <v>670924.8100000002</v>
      </c>
      <c r="M8" t="n">
        <v>673903.6664539385</v>
      </c>
      <c r="N8" t="n">
        <v>1.004439925919476</v>
      </c>
      <c r="O8" t="n">
        <v>-164.4675593817374</v>
      </c>
      <c r="P8" t="n">
        <v>-0.0002440520323136998</v>
      </c>
      <c r="Q8" t="n">
        <v>671088.6400000001</v>
      </c>
      <c r="R8" t="n">
        <v>674068.3692366892</v>
      </c>
      <c r="S8" t="n">
        <v>1.004440142566992</v>
      </c>
      <c r="T8" t="n">
        <v>-329.1703421324492</v>
      </c>
      <c r="U8" t="n">
        <v>-0.0004883337613144488</v>
      </c>
      <c r="V8" t="inlineStr"/>
      <c r="W8" t="inlineStr"/>
      <c r="X8" t="inlineStr"/>
    </row>
    <row r="9">
      <c r="A9" t="n">
        <v>0.1</v>
      </c>
      <c r="B9" t="n">
        <v>0.1</v>
      </c>
      <c r="C9" t="n">
        <v>0.1</v>
      </c>
      <c r="D9" t="inlineStr">
        <is>
          <t>jenness_window_8tri</t>
        </is>
      </c>
      <c r="E9" t="n">
        <v>670761</v>
      </c>
      <c r="F9" t="n">
        <v>673739.2026911676</v>
      </c>
      <c r="G9" t="n">
        <v>1.00444003555837</v>
      </c>
      <c r="H9" t="n">
        <v>67076100</v>
      </c>
      <c r="I9" t="n">
        <v>24.65490170073463</v>
      </c>
      <c r="J9" t="n">
        <v>3.302397000021301</v>
      </c>
      <c r="K9" t="inlineStr">
        <is>
          <t>resampling=bilinear;dx=0.1;dy=0.1;weight=0.25;triangle=heron;runtime=compute_only</t>
        </is>
      </c>
      <c r="L9" t="n">
        <v>670924.8100000002</v>
      </c>
      <c r="M9" t="n">
        <v>673903.6664539385</v>
      </c>
      <c r="N9" t="n">
        <v>1.004439925919476</v>
      </c>
      <c r="O9" t="n">
        <v>-164.4637627708726</v>
      </c>
      <c r="P9" t="n">
        <v>-0.0002440463985546719</v>
      </c>
      <c r="Q9" t="n">
        <v>671088.6400000001</v>
      </c>
      <c r="R9" t="n">
        <v>674068.3692366892</v>
      </c>
      <c r="S9" t="n">
        <v>1.004440142566992</v>
      </c>
      <c r="T9" t="n">
        <v>-329.1665455215843</v>
      </c>
      <c r="U9" t="n">
        <v>-0.0004883281289319813</v>
      </c>
      <c r="V9" t="inlineStr"/>
      <c r="W9" t="inlineStr"/>
      <c r="X9" t="inlineStr"/>
    </row>
    <row r="10">
      <c r="A10" t="n">
        <v>0.1</v>
      </c>
      <c r="B10" t="n">
        <v>0.1</v>
      </c>
      <c r="C10" t="n">
        <v>0.1</v>
      </c>
      <c r="D10" t="inlineStr">
        <is>
          <t>sector_adaptive_jenness_integral</t>
        </is>
      </c>
      <c r="E10" t="n">
        <v>670761</v>
      </c>
      <c r="F10" t="n">
        <v>673739.199556281</v>
      </c>
      <c r="G10" t="n">
        <v>1.004440030884743</v>
      </c>
      <c r="H10" t="n">
        <v>67076100</v>
      </c>
      <c r="I10" t="n">
        <v>55.7097937000799</v>
      </c>
      <c r="J10" t="n">
        <v>3.302397000021301</v>
      </c>
      <c r="K10" t="inlineStr">
        <is>
          <t>resampling=bilinear;dx=0.1;dy=0.1;surface=quadratic_ls_3x3;partition=8_sector_cell;min_samples=3;rel_tol=0.0001;abs_tol=0;max_level=5;runtime=compute_only</t>
        </is>
      </c>
      <c r="L10" t="n">
        <v>670924.8100000002</v>
      </c>
      <c r="M10" t="n">
        <v>673903.6664539385</v>
      </c>
      <c r="N10" t="n">
        <v>1.004439925919476</v>
      </c>
      <c r="O10" t="n">
        <v>-164.4668976574903</v>
      </c>
      <c r="P10" t="n">
        <v>-0.0002440510503866382</v>
      </c>
      <c r="Q10" t="n">
        <v>671088.6400000001</v>
      </c>
      <c r="R10" t="n">
        <v>674068.3692366892</v>
      </c>
      <c r="S10" t="n">
        <v>1.004440142566992</v>
      </c>
      <c r="T10" t="n">
        <v>-329.1696804082021</v>
      </c>
      <c r="U10" t="n">
        <v>-0.0004883327796273126</v>
      </c>
      <c r="V10" t="n">
        <v>0.0004883408546412209</v>
      </c>
      <c r="W10" t="n">
        <v>1</v>
      </c>
      <c r="X10" t="n">
        <v>0.0004883408546412209</v>
      </c>
    </row>
    <row r="11">
      <c r="A11" t="n">
        <v>0.1</v>
      </c>
      <c r="B11" t="n">
        <v>0.1</v>
      </c>
      <c r="C11" t="n">
        <v>0.1</v>
      </c>
      <c r="D11" t="inlineStr">
        <is>
          <t>tin_2tri_cell</t>
        </is>
      </c>
      <c r="E11" t="n">
        <v>670761</v>
      </c>
      <c r="F11" t="n">
        <v>673739.1989714823</v>
      </c>
      <c r="G11" t="n">
        <v>1.004440030012899</v>
      </c>
      <c r="H11" t="n">
        <v>67076100</v>
      </c>
      <c r="I11" t="n">
        <v>2.612022601533681</v>
      </c>
      <c r="J11" t="n">
        <v>3.302397000021301</v>
      </c>
      <c r="K11" t="inlineStr">
        <is>
          <t>resampling=bilinear;dx=0.1;dy=0.1;triangles=2;runtime=compute_only</t>
        </is>
      </c>
      <c r="L11" t="n">
        <v>670924.8100000002</v>
      </c>
      <c r="M11" t="n">
        <v>673903.6664539385</v>
      </c>
      <c r="N11" t="n">
        <v>1.004439925919476</v>
      </c>
      <c r="O11" t="n">
        <v>-164.4674824561225</v>
      </c>
      <c r="P11" t="n">
        <v>-0.000244051918164425</v>
      </c>
      <c r="Q11" t="n">
        <v>671088.6400000001</v>
      </c>
      <c r="R11" t="n">
        <v>674068.3692366892</v>
      </c>
      <c r="S11" t="n">
        <v>1.004440142566992</v>
      </c>
      <c r="T11" t="n">
        <v>-329.1702652068343</v>
      </c>
      <c r="U11" t="n">
        <v>-0.0004883336471930654</v>
      </c>
      <c r="V11" t="inlineStr"/>
      <c r="W11" t="inlineStr"/>
      <c r="X11" t="inlineStr"/>
    </row>
    <row r="12">
      <c r="A12" t="n">
        <v>0.1</v>
      </c>
      <c r="B12" t="n">
        <v>0.1</v>
      </c>
      <c r="C12" t="n">
        <v>0.1</v>
      </c>
      <c r="D12" t="inlineStr">
        <is>
          <t>native_grid_reference</t>
        </is>
      </c>
      <c r="E12" t="n">
        <v>670924.8100000002</v>
      </c>
      <c r="F12" t="n">
        <v>673903.6664539385</v>
      </c>
      <c r="G12" t="n">
        <v>1.004439925919476</v>
      </c>
      <c r="H12" t="inlineStr"/>
      <c r="I12" t="inlineStr"/>
      <c r="J12" t="inlineStr"/>
      <c r="K12" t="inlineStr">
        <is>
          <t>reference_row=native_grid_reference</t>
        </is>
      </c>
      <c r="L12" t="n">
        <v>670924.8100000002</v>
      </c>
      <c r="M12" t="n">
        <v>673903.6664539385</v>
      </c>
      <c r="N12" t="n">
        <v>1.004439925919476</v>
      </c>
      <c r="O12" t="n">
        <v>0</v>
      </c>
      <c r="P12" t="n">
        <v>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0.1</v>
      </c>
      <c r="B13" t="n">
        <v>0.1</v>
      </c>
      <c r="C13" t="n">
        <v>0.1</v>
      </c>
      <c r="D13" t="inlineStr">
        <is>
          <t>continuous_ground_truth</t>
        </is>
      </c>
      <c r="E13" t="n">
        <v>671088.6400000001</v>
      </c>
      <c r="F13" t="n">
        <v>674068.3692366892</v>
      </c>
      <c r="G13" t="n">
        <v>1.004440142566992</v>
      </c>
      <c r="H13" t="inlineStr"/>
      <c r="I13" t="inlineStr"/>
      <c r="J13" t="inlineStr"/>
      <c r="K13" t="inlineStr">
        <is>
          <t>reference_row=continuous_ground_truth</t>
        </is>
      </c>
      <c r="L13" t="inlineStr"/>
      <c r="M13" t="inlineStr"/>
      <c r="N13" t="inlineStr"/>
      <c r="O13" t="inlineStr"/>
      <c r="P13" t="inlineStr"/>
      <c r="Q13" t="n">
        <v>671088.6400000001</v>
      </c>
      <c r="R13" t="n">
        <v>674068.3692366892</v>
      </c>
      <c r="S13" t="n">
        <v>1.004440142566992</v>
      </c>
      <c r="T13" t="n">
        <v>0</v>
      </c>
      <c r="U13" t="n">
        <v>0</v>
      </c>
      <c r="V13" t="inlineStr"/>
      <c r="W13" t="inlineStr"/>
      <c r="X13" t="inlineStr"/>
    </row>
    <row r="14">
      <c r="A14" t="n">
        <v>0.5</v>
      </c>
      <c r="B14" t="n">
        <v>0.5</v>
      </c>
      <c r="C14" t="n">
        <v>0.5</v>
      </c>
      <c r="D14" t="inlineStr">
        <is>
          <t>gradient_multiplier</t>
        </is>
      </c>
      <c r="E14" t="n">
        <v>669124</v>
      </c>
      <c r="F14" t="n">
        <v>672094.8280338536</v>
      </c>
      <c r="G14" t="n">
        <v>1.004439876665392</v>
      </c>
      <c r="H14" t="n">
        <v>2676496</v>
      </c>
      <c r="I14" t="n">
        <v>0.05568009975831956</v>
      </c>
      <c r="J14" t="n">
        <v>2.489308399963193</v>
      </c>
      <c r="K14" t="inlineStr">
        <is>
          <t>resampling=bilinear;dx=0.5;dy=0.5;slope_method=horn;runtime=compute_only</t>
        </is>
      </c>
      <c r="L14" t="n">
        <v>669942.25</v>
      </c>
      <c r="M14" t="n">
        <v>672916.5413896602</v>
      </c>
      <c r="N14" t="n">
        <v>1.004439623549135</v>
      </c>
      <c r="O14" t="n">
        <v>-821.7133558066562</v>
      </c>
      <c r="P14" t="n">
        <v>-0.001221122242157566</v>
      </c>
      <c r="Q14" t="n">
        <v>671088.6400000001</v>
      </c>
      <c r="R14" t="n">
        <v>674068.3692366892</v>
      </c>
      <c r="S14" t="n">
        <v>1.004440142566992</v>
      </c>
      <c r="T14" t="n">
        <v>-1973.541202835622</v>
      </c>
      <c r="U14" t="n">
        <v>-0.002927805683970081</v>
      </c>
      <c r="V14" t="inlineStr"/>
      <c r="W14" t="inlineStr"/>
      <c r="X14" t="inlineStr"/>
    </row>
    <row r="15">
      <c r="A15" t="n">
        <v>0.5</v>
      </c>
      <c r="B15" t="n">
        <v>0.5</v>
      </c>
      <c r="C15" t="n">
        <v>0.5</v>
      </c>
      <c r="D15" t="inlineStr">
        <is>
          <t>jenness_window_8tri</t>
        </is>
      </c>
      <c r="E15" t="n">
        <v>669124</v>
      </c>
      <c r="F15" t="n">
        <v>672094.8322400914</v>
      </c>
      <c r="G15" t="n">
        <v>1.004439882951577</v>
      </c>
      <c r="H15" t="n">
        <v>2676496</v>
      </c>
      <c r="I15" t="n">
        <v>0.5954513002652675</v>
      </c>
      <c r="J15" t="n">
        <v>2.489308399963193</v>
      </c>
      <c r="K15" t="inlineStr">
        <is>
          <t>resampling=bilinear;dx=0.5;dy=0.5;weight=0.25;triangle=heron;runtime=compute_only</t>
        </is>
      </c>
      <c r="L15" t="n">
        <v>669942.25</v>
      </c>
      <c r="M15" t="n">
        <v>672916.5413896602</v>
      </c>
      <c r="N15" t="n">
        <v>1.004439623549135</v>
      </c>
      <c r="O15" t="n">
        <v>-821.7091495688073</v>
      </c>
      <c r="P15" t="n">
        <v>-0.001221115991400465</v>
      </c>
      <c r="Q15" t="n">
        <v>671088.6400000001</v>
      </c>
      <c r="R15" t="n">
        <v>674068.3692366892</v>
      </c>
      <c r="S15" t="n">
        <v>1.004440142566992</v>
      </c>
      <c r="T15" t="n">
        <v>-1973.536996597773</v>
      </c>
      <c r="U15" t="n">
        <v>-0.002927799443894088</v>
      </c>
      <c r="V15" t="inlineStr"/>
      <c r="W15" t="inlineStr"/>
      <c r="X15" t="inlineStr"/>
    </row>
    <row r="16">
      <c r="A16" t="n">
        <v>0.5</v>
      </c>
      <c r="B16" t="n">
        <v>0.5</v>
      </c>
      <c r="C16" t="n">
        <v>0.5</v>
      </c>
      <c r="D16" t="inlineStr">
        <is>
          <t>sector_adaptive_jenness_integral</t>
        </is>
      </c>
      <c r="E16" t="n">
        <v>669124</v>
      </c>
      <c r="F16" t="n">
        <v>672094.8294137615</v>
      </c>
      <c r="G16" t="n">
        <v>1.004439878727652</v>
      </c>
      <c r="H16" t="n">
        <v>2676496</v>
      </c>
      <c r="I16" t="n">
        <v>2.780367599858437</v>
      </c>
      <c r="J16" t="n">
        <v>2.489308399963193</v>
      </c>
      <c r="K16" t="inlineStr">
        <is>
          <t>resampling=bilinear;dx=0.5;dy=0.5;surface=quadratic_ls_3x3;partition=8_sector_cell;min_samples=3;rel_tol=0.0001;abs_tol=0;max_level=5;runtime=compute_only</t>
        </is>
      </c>
      <c r="L16" t="n">
        <v>669942.25</v>
      </c>
      <c r="M16" t="n">
        <v>672916.5413896602</v>
      </c>
      <c r="N16" t="n">
        <v>1.004439623549135</v>
      </c>
      <c r="O16" t="n">
        <v>-821.7119758987101</v>
      </c>
      <c r="P16" t="n">
        <v>-0.001221120191519988</v>
      </c>
      <c r="Q16" t="n">
        <v>671088.6400000001</v>
      </c>
      <c r="R16" t="n">
        <v>674068.3692366892</v>
      </c>
      <c r="S16" t="n">
        <v>1.004440142566992</v>
      </c>
      <c r="T16" t="n">
        <v>-1973.539822927676</v>
      </c>
      <c r="U16" t="n">
        <v>-0.002927803636836572</v>
      </c>
      <c r="V16" t="n">
        <v>0.002443493283756075</v>
      </c>
      <c r="W16" t="n">
        <v>1</v>
      </c>
      <c r="X16" t="n">
        <v>0.002443493283756075</v>
      </c>
    </row>
    <row r="17">
      <c r="A17" t="n">
        <v>0.5</v>
      </c>
      <c r="B17" t="n">
        <v>0.5</v>
      </c>
      <c r="C17" t="n">
        <v>0.5</v>
      </c>
      <c r="D17" t="inlineStr">
        <is>
          <t>tin_2tri_cell</t>
        </is>
      </c>
      <c r="E17" t="n">
        <v>669124</v>
      </c>
      <c r="F17" t="n">
        <v>672094.8280354417</v>
      </c>
      <c r="G17" t="n">
        <v>1.004439876667765</v>
      </c>
      <c r="H17" t="n">
        <v>2676496</v>
      </c>
      <c r="I17" t="n">
        <v>0.1020070998347364</v>
      </c>
      <c r="J17" t="n">
        <v>2.489308399963193</v>
      </c>
      <c r="K17" t="inlineStr">
        <is>
          <t>resampling=bilinear;dx=0.5;dy=0.5;triangles=2;runtime=compute_only</t>
        </is>
      </c>
      <c r="L17" t="n">
        <v>669942.25</v>
      </c>
      <c r="M17" t="n">
        <v>672916.5413896602</v>
      </c>
      <c r="N17" t="n">
        <v>1.004439623549135</v>
      </c>
      <c r="O17" t="n">
        <v>-821.7133542185184</v>
      </c>
      <c r="P17" t="n">
        <v>-0.001221122239797484</v>
      </c>
      <c r="Q17" t="n">
        <v>671088.6400000001</v>
      </c>
      <c r="R17" t="n">
        <v>674068.3692366892</v>
      </c>
      <c r="S17" t="n">
        <v>1.004440142566992</v>
      </c>
      <c r="T17" t="n">
        <v>-1973.541201247484</v>
      </c>
      <c r="U17" t="n">
        <v>-0.002927805681614033</v>
      </c>
      <c r="V17" t="inlineStr"/>
      <c r="W17" t="inlineStr"/>
      <c r="X17" t="inlineStr"/>
    </row>
    <row r="18">
      <c r="A18" t="n">
        <v>0.5</v>
      </c>
      <c r="B18" t="n">
        <v>0.5</v>
      </c>
      <c r="C18" t="n">
        <v>0.5</v>
      </c>
      <c r="D18" t="inlineStr">
        <is>
          <t>native_grid_reference</t>
        </is>
      </c>
      <c r="E18" t="n">
        <v>669942.25</v>
      </c>
      <c r="F18" t="n">
        <v>672916.5413896602</v>
      </c>
      <c r="G18" t="n">
        <v>1.004439623549135</v>
      </c>
      <c r="H18" t="inlineStr"/>
      <c r="I18" t="inlineStr"/>
      <c r="J18" t="inlineStr"/>
      <c r="K18" t="inlineStr">
        <is>
          <t>reference_row=native_grid_reference</t>
        </is>
      </c>
      <c r="L18" t="n">
        <v>669942.25</v>
      </c>
      <c r="M18" t="n">
        <v>672916.5413896602</v>
      </c>
      <c r="N18" t="n">
        <v>1.004439623549135</v>
      </c>
      <c r="O18" t="n">
        <v>0</v>
      </c>
      <c r="P18" t="n">
        <v>0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0.5</v>
      </c>
      <c r="B19" t="n">
        <v>0.5</v>
      </c>
      <c r="C19" t="n">
        <v>0.5</v>
      </c>
      <c r="D19" t="inlineStr">
        <is>
          <t>continuous_ground_truth</t>
        </is>
      </c>
      <c r="E19" t="n">
        <v>671088.6400000001</v>
      </c>
      <c r="F19" t="n">
        <v>674068.3692366892</v>
      </c>
      <c r="G19" t="n">
        <v>1.004440142566992</v>
      </c>
      <c r="H19" t="inlineStr"/>
      <c r="I19" t="inlineStr"/>
      <c r="J19" t="inlineStr"/>
      <c r="K19" t="inlineStr">
        <is>
          <t>reference_row=continuous_ground_truth</t>
        </is>
      </c>
      <c r="L19" t="inlineStr"/>
      <c r="M19" t="inlineStr"/>
      <c r="N19" t="inlineStr"/>
      <c r="O19" t="inlineStr"/>
      <c r="P19" t="inlineStr"/>
      <c r="Q19" t="n">
        <v>671088.6400000001</v>
      </c>
      <c r="R19" t="n">
        <v>674068.3692366892</v>
      </c>
      <c r="S19" t="n">
        <v>1.004440142566992</v>
      </c>
      <c r="T19" t="n">
        <v>0</v>
      </c>
      <c r="U19" t="n">
        <v>0</v>
      </c>
      <c r="V19" t="inlineStr"/>
      <c r="W19" t="inlineStr"/>
      <c r="X19" t="inlineStr"/>
    </row>
    <row r="20">
      <c r="A20" t="n">
        <v>1</v>
      </c>
      <c r="B20" t="n">
        <v>1</v>
      </c>
      <c r="C20" t="n">
        <v>1</v>
      </c>
      <c r="D20" t="inlineStr">
        <is>
          <t>gradient_multiplier</t>
        </is>
      </c>
      <c r="E20" t="n">
        <v>667489</v>
      </c>
      <c r="F20" t="n">
        <v>670452.2776557324</v>
      </c>
      <c r="G20" t="n">
        <v>1.004439440433823</v>
      </c>
      <c r="H20" t="n">
        <v>667489</v>
      </c>
      <c r="I20" t="n">
        <v>0.01337790006073192</v>
      </c>
      <c r="J20" t="n">
        <v>2.465611899970099</v>
      </c>
      <c r="K20" t="inlineStr">
        <is>
          <t>resampling=bilinear;dx=1;dy=1;slope_method=horn;runtime=compute_only</t>
        </is>
      </c>
      <c r="L20" t="n">
        <v>669124</v>
      </c>
      <c r="M20" t="n">
        <v>672094.0863867436</v>
      </c>
      <c r="N20" t="n">
        <v>1.004438768280234</v>
      </c>
      <c r="O20" t="n">
        <v>-1641.808731011231</v>
      </c>
      <c r="P20" t="n">
        <v>-0.002442825735661189</v>
      </c>
      <c r="Q20" t="n">
        <v>671088.6400000001</v>
      </c>
      <c r="R20" t="n">
        <v>674068.3692366892</v>
      </c>
      <c r="S20" t="n">
        <v>1.004440142566992</v>
      </c>
      <c r="T20" t="n">
        <v>-3616.091580956825</v>
      </c>
      <c r="U20" t="n">
        <v>-0.005364576867850459</v>
      </c>
      <c r="V20" t="inlineStr"/>
      <c r="W20" t="inlineStr"/>
      <c r="X20" t="inlineStr"/>
    </row>
    <row r="21">
      <c r="A21" t="n">
        <v>1</v>
      </c>
      <c r="B21" t="n">
        <v>1</v>
      </c>
      <c r="C21" t="n">
        <v>1</v>
      </c>
      <c r="D21" t="inlineStr">
        <is>
          <t>jenness_window_8tri</t>
        </is>
      </c>
      <c r="E21" t="n">
        <v>667489</v>
      </c>
      <c r="F21" t="n">
        <v>670452.2870670941</v>
      </c>
      <c r="G21" t="n">
        <v>1.004439454533474</v>
      </c>
      <c r="H21" t="n">
        <v>667489</v>
      </c>
      <c r="I21" t="n">
        <v>0.09986850002314895</v>
      </c>
      <c r="J21" t="n">
        <v>2.465611899970099</v>
      </c>
      <c r="K21" t="inlineStr">
        <is>
          <t>resampling=bilinear;dx=1;dy=1;weight=0.25;triangle=heron;runtime=compute_only</t>
        </is>
      </c>
      <c r="L21" t="n">
        <v>669124</v>
      </c>
      <c r="M21" t="n">
        <v>672094.0863867436</v>
      </c>
      <c r="N21" t="n">
        <v>1.004438768280234</v>
      </c>
      <c r="O21" t="n">
        <v>-1641.799319649464</v>
      </c>
      <c r="P21" t="n">
        <v>-0.002442811732619118</v>
      </c>
      <c r="Q21" t="n">
        <v>671088.6400000001</v>
      </c>
      <c r="R21" t="n">
        <v>674068.3692366892</v>
      </c>
      <c r="S21" t="n">
        <v>1.004440142566992</v>
      </c>
      <c r="T21" t="n">
        <v>-3616.082169595058</v>
      </c>
      <c r="U21" t="n">
        <v>-0.005364562905821982</v>
      </c>
      <c r="V21" t="inlineStr"/>
      <c r="W21" t="inlineStr"/>
      <c r="X21" t="inlineStr"/>
    </row>
    <row r="22">
      <c r="A22" t="n">
        <v>1</v>
      </c>
      <c r="B22" t="n">
        <v>1</v>
      </c>
      <c r="C22" t="n">
        <v>1</v>
      </c>
      <c r="D22" t="inlineStr">
        <is>
          <t>sector_adaptive_jenness_integral</t>
        </is>
      </c>
      <c r="E22" t="n">
        <v>667489</v>
      </c>
      <c r="F22" t="n">
        <v>670452.280788884</v>
      </c>
      <c r="G22" t="n">
        <v>1.004439445127761</v>
      </c>
      <c r="H22" t="n">
        <v>667489</v>
      </c>
      <c r="I22" t="n">
        <v>0.3909855001838878</v>
      </c>
      <c r="J22" t="n">
        <v>2.465611899970099</v>
      </c>
      <c r="K22" t="inlineStr">
        <is>
          <t>resampling=bilinear;dx=1;dy=1;surface=quadratic_ls_3x3;partition=8_sector_cell;min_samples=3;rel_tol=0.0001;abs_tol=0;max_level=5;runtime=compute_only</t>
        </is>
      </c>
      <c r="L22" t="n">
        <v>669124</v>
      </c>
      <c r="M22" t="n">
        <v>672094.0863867436</v>
      </c>
      <c r="N22" t="n">
        <v>1.004438768280234</v>
      </c>
      <c r="O22" t="n">
        <v>-1641.805597859551</v>
      </c>
      <c r="P22" t="n">
        <v>-0.002442821073885786</v>
      </c>
      <c r="Q22" t="n">
        <v>671088.6400000001</v>
      </c>
      <c r="R22" t="n">
        <v>674068.3692366892</v>
      </c>
      <c r="S22" t="n">
        <v>1.004440142566992</v>
      </c>
      <c r="T22" t="n">
        <v>-3616.088447805145</v>
      </c>
      <c r="U22" t="n">
        <v>-0.005364572219728959</v>
      </c>
      <c r="V22" t="n">
        <v>0.004889968224195454</v>
      </c>
      <c r="W22" t="n">
        <v>1</v>
      </c>
      <c r="X22" t="n">
        <v>0.004889968224195454</v>
      </c>
    </row>
    <row r="23">
      <c r="A23" t="n">
        <v>1</v>
      </c>
      <c r="B23" t="n">
        <v>1</v>
      </c>
      <c r="C23" t="n">
        <v>1</v>
      </c>
      <c r="D23" t="inlineStr">
        <is>
          <t>tin_2tri_cell</t>
        </is>
      </c>
      <c r="E23" t="n">
        <v>667489</v>
      </c>
      <c r="F23" t="n">
        <v>670452.2776563147</v>
      </c>
      <c r="G23" t="n">
        <v>1.004439440434696</v>
      </c>
      <c r="H23" t="n">
        <v>667489</v>
      </c>
      <c r="I23" t="n">
        <v>0.02734080009395257</v>
      </c>
      <c r="J23" t="n">
        <v>2.465611899970099</v>
      </c>
      <c r="K23" t="inlineStr">
        <is>
          <t>resampling=bilinear;dx=1;dy=1;triangles=2;runtime=compute_only</t>
        </is>
      </c>
      <c r="L23" t="n">
        <v>669124</v>
      </c>
      <c r="M23" t="n">
        <v>672094.0863867436</v>
      </c>
      <c r="N23" t="n">
        <v>1.004438768280234</v>
      </c>
      <c r="O23" t="n">
        <v>-1641.808730428922</v>
      </c>
      <c r="P23" t="n">
        <v>-0.002442825734794778</v>
      </c>
      <c r="Q23" t="n">
        <v>671088.6400000001</v>
      </c>
      <c r="R23" t="n">
        <v>674068.3692366892</v>
      </c>
      <c r="S23" t="n">
        <v>1.004440142566992</v>
      </c>
      <c r="T23" t="n">
        <v>-3616.091580374516</v>
      </c>
      <c r="U23" t="n">
        <v>-0.005364576866986587</v>
      </c>
      <c r="V23" t="inlineStr"/>
      <c r="W23" t="inlineStr"/>
      <c r="X23" t="inlineStr"/>
    </row>
    <row r="24">
      <c r="A24" t="n">
        <v>1</v>
      </c>
      <c r="B24" t="n">
        <v>1</v>
      </c>
      <c r="C24" t="n">
        <v>1</v>
      </c>
      <c r="D24" t="inlineStr">
        <is>
          <t>native_grid_reference</t>
        </is>
      </c>
      <c r="E24" t="n">
        <v>669124</v>
      </c>
      <c r="F24" t="n">
        <v>672094.0863867436</v>
      </c>
      <c r="G24" t="n">
        <v>1.004438768280234</v>
      </c>
      <c r="H24" t="inlineStr"/>
      <c r="I24" t="inlineStr"/>
      <c r="J24" t="inlineStr"/>
      <c r="K24" t="inlineStr">
        <is>
          <t>reference_row=native_grid_reference</t>
        </is>
      </c>
      <c r="L24" t="n">
        <v>669124</v>
      </c>
      <c r="M24" t="n">
        <v>672094.0863867436</v>
      </c>
      <c r="N24" t="n">
        <v>1.004438768280234</v>
      </c>
      <c r="O24" t="n">
        <v>0</v>
      </c>
      <c r="P24" t="n">
        <v>0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</v>
      </c>
      <c r="B25" t="n">
        <v>1</v>
      </c>
      <c r="C25" t="n">
        <v>1</v>
      </c>
      <c r="D25" t="inlineStr">
        <is>
          <t>continuous_ground_truth</t>
        </is>
      </c>
      <c r="E25" t="n">
        <v>671088.6400000001</v>
      </c>
      <c r="F25" t="n">
        <v>674068.3692366892</v>
      </c>
      <c r="G25" t="n">
        <v>1.004440142566992</v>
      </c>
      <c r="H25" t="inlineStr"/>
      <c r="I25" t="inlineStr"/>
      <c r="J25" t="inlineStr"/>
      <c r="K25" t="inlineStr">
        <is>
          <t>reference_row=continuous_ground_truth</t>
        </is>
      </c>
      <c r="L25" t="inlineStr"/>
      <c r="M25" t="inlineStr"/>
      <c r="N25" t="inlineStr"/>
      <c r="O25" t="inlineStr"/>
      <c r="P25" t="inlineStr"/>
      <c r="Q25" t="n">
        <v>671088.6400000001</v>
      </c>
      <c r="R25" t="n">
        <v>674068.3692366892</v>
      </c>
      <c r="S25" t="n">
        <v>1.004440142566992</v>
      </c>
      <c r="T25" t="n">
        <v>0</v>
      </c>
      <c r="U25" t="n">
        <v>0</v>
      </c>
      <c r="V25" t="inlineStr"/>
      <c r="W25" t="inlineStr"/>
      <c r="X25" t="inlineStr"/>
    </row>
    <row r="26">
      <c r="A26" t="n">
        <v>2</v>
      </c>
      <c r="B26" t="n">
        <v>2</v>
      </c>
      <c r="C26" t="n">
        <v>2</v>
      </c>
      <c r="D26" t="inlineStr">
        <is>
          <t>gradient_multiplier</t>
        </is>
      </c>
      <c r="E26" t="n">
        <v>665856</v>
      </c>
      <c r="F26" t="n">
        <v>668810.0004752796</v>
      </c>
      <c r="G26" t="n">
        <v>1.004436395369689</v>
      </c>
      <c r="H26" t="n">
        <v>166464</v>
      </c>
      <c r="I26" t="n">
        <v>0.002665599982719868</v>
      </c>
      <c r="J26" t="n">
        <v>2.642745500023011</v>
      </c>
      <c r="K26" t="inlineStr">
        <is>
          <t>resampling=bilinear;dx=2;dy=2;slope_method=horn;runtime=compute_only</t>
        </is>
      </c>
      <c r="L26" t="n">
        <v>669124</v>
      </c>
      <c r="M26" t="n">
        <v>672090.3001107695</v>
      </c>
      <c r="N26" t="n">
        <v>1.004433109723713</v>
      </c>
      <c r="O26" t="n">
        <v>-3280.299635489821</v>
      </c>
      <c r="P26" t="n">
        <v>-0.004880742416531206</v>
      </c>
      <c r="Q26" t="n">
        <v>671088.6400000001</v>
      </c>
      <c r="R26" t="n">
        <v>674068.3692366892</v>
      </c>
      <c r="S26" t="n">
        <v>1.004440142566992</v>
      </c>
      <c r="T26" t="n">
        <v>-5258.36876140954</v>
      </c>
      <c r="U26" t="n">
        <v>-0.007800942755056262</v>
      </c>
      <c r="V26" t="inlineStr"/>
      <c r="W26" t="inlineStr"/>
      <c r="X26" t="inlineStr"/>
    </row>
    <row r="27">
      <c r="A27" t="n">
        <v>2</v>
      </c>
      <c r="B27" t="n">
        <v>2</v>
      </c>
      <c r="C27" t="n">
        <v>2</v>
      </c>
      <c r="D27" t="inlineStr">
        <is>
          <t>jenness_window_8tri</t>
        </is>
      </c>
      <c r="E27" t="n">
        <v>665856</v>
      </c>
      <c r="F27" t="n">
        <v>668810.1483939345</v>
      </c>
      <c r="G27" t="n">
        <v>1.004436617517803</v>
      </c>
      <c r="H27" t="n">
        <v>166464</v>
      </c>
      <c r="I27" t="n">
        <v>0.02060309989610687</v>
      </c>
      <c r="J27" t="n">
        <v>2.642745500023011</v>
      </c>
      <c r="K27" t="inlineStr">
        <is>
          <t>resampling=bilinear;dx=2;dy=2;weight=0.25;triangle=heron;runtime=compute_only</t>
        </is>
      </c>
      <c r="L27" t="n">
        <v>669124</v>
      </c>
      <c r="M27" t="n">
        <v>672090.3001107695</v>
      </c>
      <c r="N27" t="n">
        <v>1.004433109723713</v>
      </c>
      <c r="O27" t="n">
        <v>-3280.151716834982</v>
      </c>
      <c r="P27" t="n">
        <v>-0.004880522329059606</v>
      </c>
      <c r="Q27" t="n">
        <v>671088.6400000001</v>
      </c>
      <c r="R27" t="n">
        <v>674068.3692366892</v>
      </c>
      <c r="S27" t="n">
        <v>1.004440142566992</v>
      </c>
      <c r="T27" t="n">
        <v>-5258.220842754701</v>
      </c>
      <c r="U27" t="n">
        <v>-0.007800723313436407</v>
      </c>
      <c r="V27" t="inlineStr"/>
      <c r="W27" t="inlineStr"/>
      <c r="X27" t="inlineStr"/>
    </row>
    <row r="28">
      <c r="A28" t="n">
        <v>2</v>
      </c>
      <c r="B28" t="n">
        <v>2</v>
      </c>
      <c r="C28" t="n">
        <v>2</v>
      </c>
      <c r="D28" t="inlineStr">
        <is>
          <t>sector_adaptive_jenness_integral</t>
        </is>
      </c>
      <c r="E28" t="n">
        <v>665856</v>
      </c>
      <c r="F28" t="n">
        <v>668810.0497821799</v>
      </c>
      <c r="G28" t="n">
        <v>1.004436469420085</v>
      </c>
      <c r="H28" t="n">
        <v>166464</v>
      </c>
      <c r="I28" t="n">
        <v>0.07555629999842495</v>
      </c>
      <c r="J28" t="n">
        <v>2.642745500023011</v>
      </c>
      <c r="K28" t="inlineStr">
        <is>
          <t>resampling=bilinear;dx=2;dy=2;surface=quadratic_ls_3x3;partition=8_sector_cell;min_samples=3;rel_tol=0.0001;abs_tol=0;max_level=5;runtime=compute_only</t>
        </is>
      </c>
      <c r="L28" t="n">
        <v>669124</v>
      </c>
      <c r="M28" t="n">
        <v>672090.3001107695</v>
      </c>
      <c r="N28" t="n">
        <v>1.004433109723713</v>
      </c>
      <c r="O28" t="n">
        <v>-3280.25032858958</v>
      </c>
      <c r="P28" t="n">
        <v>-0.004880669053025986</v>
      </c>
      <c r="Q28" t="n">
        <v>671088.6400000001</v>
      </c>
      <c r="R28" t="n">
        <v>674068.3692366892</v>
      </c>
      <c r="S28" t="n">
        <v>1.004440142566992</v>
      </c>
      <c r="T28" t="n">
        <v>-5258.319454509299</v>
      </c>
      <c r="U28" t="n">
        <v>-0.007800869606837934</v>
      </c>
      <c r="V28" t="n">
        <v>0.009779892349096502</v>
      </c>
      <c r="W28" t="n">
        <v>1</v>
      </c>
      <c r="X28" t="n">
        <v>0.009779892349096502</v>
      </c>
    </row>
    <row r="29">
      <c r="A29" t="n">
        <v>2</v>
      </c>
      <c r="B29" t="n">
        <v>2</v>
      </c>
      <c r="C29" t="n">
        <v>2</v>
      </c>
      <c r="D29" t="inlineStr">
        <is>
          <t>tin_2tri_cell</t>
        </is>
      </c>
      <c r="E29" t="n">
        <v>665856</v>
      </c>
      <c r="F29" t="n">
        <v>668810.0004753815</v>
      </c>
      <c r="G29" t="n">
        <v>1.004436395369842</v>
      </c>
      <c r="H29" t="n">
        <v>166464</v>
      </c>
      <c r="I29" t="n">
        <v>0.006427500047720969</v>
      </c>
      <c r="J29" t="n">
        <v>2.642745500023011</v>
      </c>
      <c r="K29" t="inlineStr">
        <is>
          <t>resampling=bilinear;dx=2;dy=2;triangles=2;runtime=compute_only</t>
        </is>
      </c>
      <c r="L29" t="n">
        <v>669124</v>
      </c>
      <c r="M29" t="n">
        <v>672090.3001107695</v>
      </c>
      <c r="N29" t="n">
        <v>1.004433109723713</v>
      </c>
      <c r="O29" t="n">
        <v>-3280.299635387957</v>
      </c>
      <c r="P29" t="n">
        <v>-0.004880742416379644</v>
      </c>
      <c r="Q29" t="n">
        <v>671088.6400000001</v>
      </c>
      <c r="R29" t="n">
        <v>674068.3692366892</v>
      </c>
      <c r="S29" t="n">
        <v>1.004440142566992</v>
      </c>
      <c r="T29" t="n">
        <v>-5258.368761307676</v>
      </c>
      <c r="U29" t="n">
        <v>-0.007800942754905144</v>
      </c>
      <c r="V29" t="inlineStr"/>
      <c r="W29" t="inlineStr"/>
      <c r="X29" t="inlineStr"/>
    </row>
    <row r="30">
      <c r="A30" t="n">
        <v>2</v>
      </c>
      <c r="B30" t="n">
        <v>2</v>
      </c>
      <c r="C30" t="n">
        <v>2</v>
      </c>
      <c r="D30" t="inlineStr">
        <is>
          <t>native_grid_reference</t>
        </is>
      </c>
      <c r="E30" t="n">
        <v>669124</v>
      </c>
      <c r="F30" t="n">
        <v>672090.3001107695</v>
      </c>
      <c r="G30" t="n">
        <v>1.004433109723713</v>
      </c>
      <c r="H30" t="inlineStr"/>
      <c r="I30" t="inlineStr"/>
      <c r="J30" t="inlineStr"/>
      <c r="K30" t="inlineStr">
        <is>
          <t>reference_row=native_grid_reference</t>
        </is>
      </c>
      <c r="L30" t="n">
        <v>669124</v>
      </c>
      <c r="M30" t="n">
        <v>672090.3001107695</v>
      </c>
      <c r="N30" t="n">
        <v>1.004433109723713</v>
      </c>
      <c r="O30" t="n">
        <v>0</v>
      </c>
      <c r="P30" t="n">
        <v>0</v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2</v>
      </c>
      <c r="B31" t="n">
        <v>2</v>
      </c>
      <c r="C31" t="n">
        <v>2</v>
      </c>
      <c r="D31" t="inlineStr">
        <is>
          <t>continuous_ground_truth</t>
        </is>
      </c>
      <c r="E31" t="n">
        <v>671088.6400000001</v>
      </c>
      <c r="F31" t="n">
        <v>674068.3692366892</v>
      </c>
      <c r="G31" t="n">
        <v>1.004440142566992</v>
      </c>
      <c r="H31" t="inlineStr"/>
      <c r="I31" t="inlineStr"/>
      <c r="J31" t="inlineStr"/>
      <c r="K31" t="inlineStr">
        <is>
          <t>reference_row=continuous_ground_truth</t>
        </is>
      </c>
      <c r="L31" t="inlineStr"/>
      <c r="M31" t="inlineStr"/>
      <c r="N31" t="inlineStr"/>
      <c r="O31" t="inlineStr"/>
      <c r="P31" t="inlineStr"/>
      <c r="Q31" t="n">
        <v>671088.6400000001</v>
      </c>
      <c r="R31" t="n">
        <v>674068.3692366892</v>
      </c>
      <c r="S31" t="n">
        <v>1.004440142566992</v>
      </c>
      <c r="T31" t="n">
        <v>0</v>
      </c>
      <c r="U31" t="n">
        <v>0</v>
      </c>
      <c r="V31" t="inlineStr"/>
      <c r="W31" t="inlineStr"/>
      <c r="X31" t="inlineStr"/>
    </row>
    <row r="32">
      <c r="A32" t="n">
        <v>5</v>
      </c>
      <c r="B32" t="n">
        <v>5</v>
      </c>
      <c r="C32" t="n">
        <v>5</v>
      </c>
      <c r="D32" t="inlineStr">
        <is>
          <t>gradient_multiplier</t>
        </is>
      </c>
      <c r="E32" t="n">
        <v>656100</v>
      </c>
      <c r="F32" t="n">
        <v>659008.8445771658</v>
      </c>
      <c r="G32" t="n">
        <v>1.004433538450184</v>
      </c>
      <c r="H32" t="n">
        <v>26244</v>
      </c>
      <c r="I32" t="n">
        <v>0.0003204999957233667</v>
      </c>
      <c r="J32" t="n">
        <v>2.593006200040691</v>
      </c>
      <c r="K32" t="inlineStr">
        <is>
          <t>resampling=bilinear;dx=5;dy=5;slope_method=horn;runtime=compute_only</t>
        </is>
      </c>
      <c r="L32" t="n">
        <v>664225</v>
      </c>
      <c r="M32" t="n">
        <v>667165.8297394898</v>
      </c>
      <c r="N32" t="n">
        <v>1.004427460182152</v>
      </c>
      <c r="O32" t="n">
        <v>-8156.985162324039</v>
      </c>
      <c r="P32" t="n">
        <v>-0.01222632334978714</v>
      </c>
      <c r="Q32" t="n">
        <v>671088.6400000001</v>
      </c>
      <c r="R32" t="n">
        <v>674068.3692366892</v>
      </c>
      <c r="S32" t="n">
        <v>1.004440142566992</v>
      </c>
      <c r="T32" t="n">
        <v>-15059.52465952339</v>
      </c>
      <c r="U32" t="n">
        <v>-0.02234124214517988</v>
      </c>
      <c r="V32" t="inlineStr"/>
      <c r="W32" t="inlineStr"/>
      <c r="X32" t="inlineStr"/>
    </row>
    <row r="33">
      <c r="A33" t="n">
        <v>5</v>
      </c>
      <c r="B33" t="n">
        <v>5</v>
      </c>
      <c r="C33" t="n">
        <v>5</v>
      </c>
      <c r="D33" t="inlineStr">
        <is>
          <t>jenness_window_8tri</t>
        </is>
      </c>
      <c r="E33" t="n">
        <v>656100</v>
      </c>
      <c r="F33" t="n">
        <v>659008.991698852</v>
      </c>
      <c r="G33" t="n">
        <v>1.004433762686865</v>
      </c>
      <c r="H33" t="n">
        <v>26244</v>
      </c>
      <c r="I33" t="n">
        <v>0.001684799965005368</v>
      </c>
      <c r="J33" t="n">
        <v>2.593006200040691</v>
      </c>
      <c r="K33" t="inlineStr">
        <is>
          <t>resampling=bilinear;dx=5;dy=5;weight=0.25;triangle=heron;runtime=compute_only</t>
        </is>
      </c>
      <c r="L33" t="n">
        <v>664225</v>
      </c>
      <c r="M33" t="n">
        <v>667165.8297394898</v>
      </c>
      <c r="N33" t="n">
        <v>1.004427460182152</v>
      </c>
      <c r="O33" t="n">
        <v>-8156.838040637784</v>
      </c>
      <c r="P33" t="n">
        <v>-0.01222610283236899</v>
      </c>
      <c r="Q33" t="n">
        <v>671088.6400000001</v>
      </c>
      <c r="R33" t="n">
        <v>674068.3692366892</v>
      </c>
      <c r="S33" t="n">
        <v>1.004440142566992</v>
      </c>
      <c r="T33" t="n">
        <v>-15059.37753783714</v>
      </c>
      <c r="U33" t="n">
        <v>-0.02234102388588606</v>
      </c>
      <c r="V33" t="inlineStr"/>
      <c r="W33" t="inlineStr"/>
      <c r="X33" t="inlineStr"/>
    </row>
    <row r="34">
      <c r="A34" t="n">
        <v>5</v>
      </c>
      <c r="B34" t="n">
        <v>5</v>
      </c>
      <c r="C34" t="n">
        <v>5</v>
      </c>
      <c r="D34" t="inlineStr">
        <is>
          <t>sector_adaptive_jenness_integral</t>
        </is>
      </c>
      <c r="E34" t="n">
        <v>656100</v>
      </c>
      <c r="F34" t="n">
        <v>659008.8936174789</v>
      </c>
      <c r="G34" t="n">
        <v>1.004433613195365</v>
      </c>
      <c r="H34" t="n">
        <v>26244</v>
      </c>
      <c r="I34" t="n">
        <v>0.00990449998062104</v>
      </c>
      <c r="J34" t="n">
        <v>2.593006200040691</v>
      </c>
      <c r="K34" t="inlineStr">
        <is>
          <t>resampling=bilinear;dx=5;dy=5;surface=quadratic_ls_3x3;partition=8_sector_cell;min_samples=3;rel_tol=0.0001;abs_tol=0;max_level=5;runtime=compute_only</t>
        </is>
      </c>
      <c r="L34" t="n">
        <v>664225</v>
      </c>
      <c r="M34" t="n">
        <v>667165.8297394898</v>
      </c>
      <c r="N34" t="n">
        <v>1.004427460182152</v>
      </c>
      <c r="O34" t="n">
        <v>-8156.936122010928</v>
      </c>
      <c r="P34" t="n">
        <v>-0.01222624984435427</v>
      </c>
      <c r="Q34" t="n">
        <v>671088.6400000001</v>
      </c>
      <c r="R34" t="n">
        <v>674068.3692366892</v>
      </c>
      <c r="S34" t="n">
        <v>1.004440142566992</v>
      </c>
      <c r="T34" t="n">
        <v>-15059.47561921028</v>
      </c>
      <c r="U34" t="n">
        <v>-0.0223411693924513</v>
      </c>
      <c r="V34" t="n">
        <v>0.02453894223441548</v>
      </c>
      <c r="W34" t="n">
        <v>1</v>
      </c>
      <c r="X34" t="n">
        <v>0.02453894223441548</v>
      </c>
    </row>
    <row r="35">
      <c r="A35" t="n">
        <v>5</v>
      </c>
      <c r="B35" t="n">
        <v>5</v>
      </c>
      <c r="C35" t="n">
        <v>5</v>
      </c>
      <c r="D35" t="inlineStr">
        <is>
          <t>tin_2tri_cell</t>
        </is>
      </c>
      <c r="E35" t="n">
        <v>656100</v>
      </c>
      <c r="F35" t="n">
        <v>659008.8445771661</v>
      </c>
      <c r="G35" t="n">
        <v>1.004433538450185</v>
      </c>
      <c r="H35" t="n">
        <v>26244</v>
      </c>
      <c r="I35" t="n">
        <v>0.0005840000230818987</v>
      </c>
      <c r="J35" t="n">
        <v>2.593006200040691</v>
      </c>
      <c r="K35" t="inlineStr">
        <is>
          <t>resampling=bilinear;dx=5;dy=5;triangles=2;runtime=compute_only</t>
        </is>
      </c>
      <c r="L35" t="n">
        <v>664225</v>
      </c>
      <c r="M35" t="n">
        <v>667165.8297394898</v>
      </c>
      <c r="N35" t="n">
        <v>1.004427460182152</v>
      </c>
      <c r="O35" t="n">
        <v>-8156.98516232369</v>
      </c>
      <c r="P35" t="n">
        <v>-0.01222632334978662</v>
      </c>
      <c r="Q35" t="n">
        <v>671088.6400000001</v>
      </c>
      <c r="R35" t="n">
        <v>674068.3692366892</v>
      </c>
      <c r="S35" t="n">
        <v>1.004440142566992</v>
      </c>
      <c r="T35" t="n">
        <v>-15059.52465952304</v>
      </c>
      <c r="U35" t="n">
        <v>-0.02234124214517936</v>
      </c>
      <c r="V35" t="inlineStr"/>
      <c r="W35" t="inlineStr"/>
      <c r="X35" t="inlineStr"/>
    </row>
    <row r="36">
      <c r="A36" t="n">
        <v>5</v>
      </c>
      <c r="B36" t="n">
        <v>5</v>
      </c>
      <c r="C36" t="n">
        <v>5</v>
      </c>
      <c r="D36" t="inlineStr">
        <is>
          <t>native_grid_reference</t>
        </is>
      </c>
      <c r="E36" t="n">
        <v>664225</v>
      </c>
      <c r="F36" t="n">
        <v>667165.8297394898</v>
      </c>
      <c r="G36" t="n">
        <v>1.004427460182152</v>
      </c>
      <c r="H36" t="inlineStr"/>
      <c r="I36" t="inlineStr"/>
      <c r="J36" t="inlineStr"/>
      <c r="K36" t="inlineStr">
        <is>
          <t>reference_row=native_grid_reference</t>
        </is>
      </c>
      <c r="L36" t="n">
        <v>664225</v>
      </c>
      <c r="M36" t="n">
        <v>667165.8297394898</v>
      </c>
      <c r="N36" t="n">
        <v>1.004427460182152</v>
      </c>
      <c r="O36" t="n">
        <v>0</v>
      </c>
      <c r="P36" t="n">
        <v>0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5</v>
      </c>
      <c r="B37" t="n">
        <v>5</v>
      </c>
      <c r="C37" t="n">
        <v>5</v>
      </c>
      <c r="D37" t="inlineStr">
        <is>
          <t>continuous_ground_truth</t>
        </is>
      </c>
      <c r="E37" t="n">
        <v>671088.6400000001</v>
      </c>
      <c r="F37" t="n">
        <v>674068.3692366892</v>
      </c>
      <c r="G37" t="n">
        <v>1.004440142566992</v>
      </c>
      <c r="H37" t="inlineStr"/>
      <c r="I37" t="inlineStr"/>
      <c r="J37" t="inlineStr"/>
      <c r="K37" t="inlineStr">
        <is>
          <t>reference_row=continuous_ground_truth</t>
        </is>
      </c>
      <c r="L37" t="inlineStr"/>
      <c r="M37" t="inlineStr"/>
      <c r="N37" t="inlineStr"/>
      <c r="O37" t="inlineStr"/>
      <c r="P37" t="inlineStr"/>
      <c r="Q37" t="n">
        <v>671088.6400000001</v>
      </c>
      <c r="R37" t="n">
        <v>674068.3692366892</v>
      </c>
      <c r="S37" t="n">
        <v>1.004440142566992</v>
      </c>
      <c r="T37" t="n">
        <v>0</v>
      </c>
      <c r="U37" t="n">
        <v>0</v>
      </c>
      <c r="V37" t="inlineStr"/>
      <c r="W37" t="inlineStr"/>
      <c r="X37" t="inlineStr"/>
    </row>
    <row r="38">
      <c r="A38" t="n">
        <v>10</v>
      </c>
      <c r="B38" t="n">
        <v>10</v>
      </c>
      <c r="C38" t="n">
        <v>10</v>
      </c>
      <c r="D38" t="inlineStr">
        <is>
          <t>gradient_multiplier</t>
        </is>
      </c>
      <c r="E38" t="n">
        <v>640000</v>
      </c>
      <c r="F38" t="n">
        <v>642834.1918881485</v>
      </c>
      <c r="G38" t="n">
        <v>1.004428424825232</v>
      </c>
      <c r="H38" t="n">
        <v>6400</v>
      </c>
      <c r="I38" t="n">
        <v>0.0001179999671876431</v>
      </c>
      <c r="J38" t="n">
        <v>2.582313000049908</v>
      </c>
      <c r="K38" t="inlineStr">
        <is>
          <t>resampling=bilinear;dx=10;dy=10;slope_method=horn;runtime=compute_only</t>
        </is>
      </c>
      <c r="L38" t="n">
        <v>656100</v>
      </c>
      <c r="M38" t="n">
        <v>658998.420864823</v>
      </c>
      <c r="N38" t="n">
        <v>1.004417651066641</v>
      </c>
      <c r="O38" t="n">
        <v>-16164.22897667449</v>
      </c>
      <c r="P38" t="n">
        <v>-0.02452847907505104</v>
      </c>
      <c r="Q38" t="n">
        <v>671088.6400000001</v>
      </c>
      <c r="R38" t="n">
        <v>674068.3692366892</v>
      </c>
      <c r="S38" t="n">
        <v>1.004440142566992</v>
      </c>
      <c r="T38" t="n">
        <v>-31234.17734854063</v>
      </c>
      <c r="U38" t="n">
        <v>-0.04633680910426047</v>
      </c>
      <c r="V38" t="inlineStr"/>
      <c r="W38" t="inlineStr"/>
      <c r="X38" t="inlineStr"/>
    </row>
    <row r="39">
      <c r="A39" t="n">
        <v>10</v>
      </c>
      <c r="B39" t="n">
        <v>10</v>
      </c>
      <c r="C39" t="n">
        <v>10</v>
      </c>
      <c r="D39" t="inlineStr">
        <is>
          <t>jenness_window_8tri</t>
        </is>
      </c>
      <c r="E39" t="n">
        <v>640000</v>
      </c>
      <c r="F39" t="n">
        <v>642834.4039135354</v>
      </c>
      <c r="G39" t="n">
        <v>1.004428756114899</v>
      </c>
      <c r="H39" t="n">
        <v>6400</v>
      </c>
      <c r="I39" t="n">
        <v>0.000450999999884516</v>
      </c>
      <c r="J39" t="n">
        <v>2.582313000049908</v>
      </c>
      <c r="K39" t="inlineStr">
        <is>
          <t>resampling=bilinear;dx=10;dy=10;weight=0.25;triangle=heron;runtime=compute_only</t>
        </is>
      </c>
      <c r="L39" t="n">
        <v>656100</v>
      </c>
      <c r="M39" t="n">
        <v>658998.420864823</v>
      </c>
      <c r="N39" t="n">
        <v>1.004417651066641</v>
      </c>
      <c r="O39" t="n">
        <v>-16164.01695128763</v>
      </c>
      <c r="P39" t="n">
        <v>-0.024528157336212</v>
      </c>
      <c r="Q39" t="n">
        <v>671088.6400000001</v>
      </c>
      <c r="R39" t="n">
        <v>674068.3692366892</v>
      </c>
      <c r="S39" t="n">
        <v>1.004440142566992</v>
      </c>
      <c r="T39" t="n">
        <v>-31233.96532315377</v>
      </c>
      <c r="U39" t="n">
        <v>-0.04633649455844207</v>
      </c>
      <c r="V39" t="inlineStr"/>
      <c r="W39" t="inlineStr"/>
      <c r="X39" t="inlineStr"/>
    </row>
    <row r="40">
      <c r="A40" t="n">
        <v>10</v>
      </c>
      <c r="B40" t="n">
        <v>10</v>
      </c>
      <c r="C40" t="n">
        <v>10</v>
      </c>
      <c r="D40" t="inlineStr">
        <is>
          <t>sector_adaptive_jenness_integral</t>
        </is>
      </c>
      <c r="E40" t="n">
        <v>640000</v>
      </c>
      <c r="F40" t="n">
        <v>642834.262596674</v>
      </c>
      <c r="G40" t="n">
        <v>1.004428535307303</v>
      </c>
      <c r="H40" t="n">
        <v>6400</v>
      </c>
      <c r="I40" t="n">
        <v>0.003526400018017739</v>
      </c>
      <c r="J40" t="n">
        <v>2.582313000049908</v>
      </c>
      <c r="K40" t="inlineStr">
        <is>
          <t>resampling=bilinear;dx=10;dy=10;surface=quadratic_ls_3x3;partition=8_sector_cell;min_samples=3;rel_tol=0.0001;abs_tol=0;max_level=5;runtime=compute_only</t>
        </is>
      </c>
      <c r="L40" t="n">
        <v>656100</v>
      </c>
      <c r="M40" t="n">
        <v>658998.420864823</v>
      </c>
      <c r="N40" t="n">
        <v>1.004417651066641</v>
      </c>
      <c r="O40" t="n">
        <v>-16164.15826814901</v>
      </c>
      <c r="P40" t="n">
        <v>-0.02452837177809366</v>
      </c>
      <c r="Q40" t="n">
        <v>671088.6400000001</v>
      </c>
      <c r="R40" t="n">
        <v>674068.3692366892</v>
      </c>
      <c r="S40" t="n">
        <v>1.004440142566992</v>
      </c>
      <c r="T40" t="n">
        <v>-31234.10664001515</v>
      </c>
      <c r="U40" t="n">
        <v>-0.04633670420610962</v>
      </c>
      <c r="V40" t="n">
        <v>0.049375</v>
      </c>
      <c r="W40" t="n">
        <v>1</v>
      </c>
      <c r="X40" t="n">
        <v>0.049375</v>
      </c>
    </row>
    <row r="41">
      <c r="A41" t="n">
        <v>10</v>
      </c>
      <c r="B41" t="n">
        <v>10</v>
      </c>
      <c r="C41" t="n">
        <v>10</v>
      </c>
      <c r="D41" t="inlineStr">
        <is>
          <t>tin_2tri_cell</t>
        </is>
      </c>
      <c r="E41" t="n">
        <v>640000</v>
      </c>
      <c r="F41" t="n">
        <v>642834.1918882048</v>
      </c>
      <c r="G41" t="n">
        <v>1.00442842482532</v>
      </c>
      <c r="H41" t="n">
        <v>6400</v>
      </c>
      <c r="I41" t="n">
        <v>0.0002561000292189419</v>
      </c>
      <c r="J41" t="n">
        <v>2.582313000049908</v>
      </c>
      <c r="K41" t="inlineStr">
        <is>
          <t>resampling=bilinear;dx=10;dy=10;triangles=2;runtime=compute_only</t>
        </is>
      </c>
      <c r="L41" t="n">
        <v>656100</v>
      </c>
      <c r="M41" t="n">
        <v>658998.420864823</v>
      </c>
      <c r="N41" t="n">
        <v>1.004417651066641</v>
      </c>
      <c r="O41" t="n">
        <v>-16164.22897661827</v>
      </c>
      <c r="P41" t="n">
        <v>-0.02452847907496572</v>
      </c>
      <c r="Q41" t="n">
        <v>671088.6400000001</v>
      </c>
      <c r="R41" t="n">
        <v>674068.3692366892</v>
      </c>
      <c r="S41" t="n">
        <v>1.004440142566992</v>
      </c>
      <c r="T41" t="n">
        <v>-31234.1773484844</v>
      </c>
      <c r="U41" t="n">
        <v>-0.04633680910417706</v>
      </c>
      <c r="V41" t="inlineStr"/>
      <c r="W41" t="inlineStr"/>
      <c r="X41" t="inlineStr"/>
    </row>
    <row r="42">
      <c r="A42" t="n">
        <v>10</v>
      </c>
      <c r="B42" t="n">
        <v>10</v>
      </c>
      <c r="C42" t="n">
        <v>10</v>
      </c>
      <c r="D42" t="inlineStr">
        <is>
          <t>native_grid_reference</t>
        </is>
      </c>
      <c r="E42" t="n">
        <v>656100</v>
      </c>
      <c r="F42" t="n">
        <v>658998.420864823</v>
      </c>
      <c r="G42" t="n">
        <v>1.004417651066641</v>
      </c>
      <c r="H42" t="inlineStr"/>
      <c r="I42" t="inlineStr"/>
      <c r="J42" t="inlineStr"/>
      <c r="K42" t="inlineStr">
        <is>
          <t>reference_row=native_grid_reference</t>
        </is>
      </c>
      <c r="L42" t="n">
        <v>656100</v>
      </c>
      <c r="M42" t="n">
        <v>658998.420864823</v>
      </c>
      <c r="N42" t="n">
        <v>1.004417651066641</v>
      </c>
      <c r="O42" t="n">
        <v>0</v>
      </c>
      <c r="P42" t="n">
        <v>0</v>
      </c>
      <c r="Q42" t="inlineStr"/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n">
        <v>10</v>
      </c>
      <c r="B43" t="n">
        <v>10</v>
      </c>
      <c r="C43" t="n">
        <v>10</v>
      </c>
      <c r="D43" t="inlineStr">
        <is>
          <t>continuous_ground_truth</t>
        </is>
      </c>
      <c r="E43" t="n">
        <v>671088.6400000001</v>
      </c>
      <c r="F43" t="n">
        <v>674068.3692366892</v>
      </c>
      <c r="G43" t="n">
        <v>1.004440142566992</v>
      </c>
      <c r="H43" t="inlineStr"/>
      <c r="I43" t="inlineStr"/>
      <c r="J43" t="inlineStr"/>
      <c r="K43" t="inlineStr">
        <is>
          <t>reference_row=continuous_ground_truth</t>
        </is>
      </c>
      <c r="L43" t="inlineStr"/>
      <c r="M43" t="inlineStr"/>
      <c r="N43" t="inlineStr"/>
      <c r="O43" t="inlineStr"/>
      <c r="P43" t="inlineStr"/>
      <c r="Q43" t="n">
        <v>671088.6400000001</v>
      </c>
      <c r="R43" t="n">
        <v>674068.3692366892</v>
      </c>
      <c r="S43" t="n">
        <v>1.004440142566992</v>
      </c>
      <c r="T43" t="n">
        <v>0</v>
      </c>
      <c r="U43" t="n">
        <v>0</v>
      </c>
      <c r="V43" t="inlineStr"/>
      <c r="W43" t="inlineStr"/>
      <c r="X43" t="inlineStr"/>
    </row>
    <row r="44">
      <c r="A44" t="n">
        <v>20</v>
      </c>
      <c r="B44" t="n">
        <v>20</v>
      </c>
      <c r="C44" t="n">
        <v>20</v>
      </c>
      <c r="D44" t="inlineStr">
        <is>
          <t>gradient_multiplier</t>
        </is>
      </c>
      <c r="E44" t="n">
        <v>608400</v>
      </c>
      <c r="F44" t="n">
        <v>611087.721803065</v>
      </c>
      <c r="G44" t="n">
        <v>1.004417688696688</v>
      </c>
      <c r="H44" t="n">
        <v>1521</v>
      </c>
      <c r="I44" t="n">
        <v>7.599999662488699e-05</v>
      </c>
      <c r="J44" t="n">
        <v>2.826857000007294</v>
      </c>
      <c r="K44" t="inlineStr">
        <is>
          <t>resampling=bilinear;dx=20;dy=20;slope_method=horn;runtime=compute_only</t>
        </is>
      </c>
      <c r="L44" t="n">
        <v>640000</v>
      </c>
      <c r="M44" t="n">
        <v>642814.3963220962</v>
      </c>
      <c r="N44" t="n">
        <v>1.004397494253275</v>
      </c>
      <c r="O44" t="n">
        <v>-31726.67451903119</v>
      </c>
      <c r="P44" t="n">
        <v>-0.04935588670782327</v>
      </c>
      <c r="Q44" t="n">
        <v>671088.6400000001</v>
      </c>
      <c r="R44" t="n">
        <v>674068.3692366892</v>
      </c>
      <c r="S44" t="n">
        <v>1.004440142566992</v>
      </c>
      <c r="T44" t="n">
        <v>-62980.64743362414</v>
      </c>
      <c r="U44" t="n">
        <v>-0.09343361935962524</v>
      </c>
      <c r="V44" t="inlineStr"/>
      <c r="W44" t="inlineStr"/>
      <c r="X44" t="inlineStr"/>
    </row>
    <row r="45">
      <c r="A45" t="n">
        <v>20</v>
      </c>
      <c r="B45" t="n">
        <v>20</v>
      </c>
      <c r="C45" t="n">
        <v>20</v>
      </c>
      <c r="D45" t="inlineStr">
        <is>
          <t>jenness_window_8tri</t>
        </is>
      </c>
      <c r="E45" t="n">
        <v>608400</v>
      </c>
      <c r="F45" t="n">
        <v>611088.0768429028</v>
      </c>
      <c r="G45" t="n">
        <v>1.004418272259866</v>
      </c>
      <c r="H45" t="n">
        <v>1521</v>
      </c>
      <c r="I45" t="n">
        <v>0.0001968000433407724</v>
      </c>
      <c r="J45" t="n">
        <v>2.826857000007294</v>
      </c>
      <c r="K45" t="inlineStr">
        <is>
          <t>resampling=bilinear;dx=20;dy=20;weight=0.25;triangle=heron;runtime=compute_only</t>
        </is>
      </c>
      <c r="L45" t="n">
        <v>640000</v>
      </c>
      <c r="M45" t="n">
        <v>642814.3963220962</v>
      </c>
      <c r="N45" t="n">
        <v>1.004397494253275</v>
      </c>
      <c r="O45" t="n">
        <v>-31726.31947919342</v>
      </c>
      <c r="P45" t="n">
        <v>-0.04935533438690482</v>
      </c>
      <c r="Q45" t="n">
        <v>671088.6400000001</v>
      </c>
      <c r="R45" t="n">
        <v>674068.3692366892</v>
      </c>
      <c r="S45" t="n">
        <v>1.004440142566992</v>
      </c>
      <c r="T45" t="n">
        <v>-62980.29239378637</v>
      </c>
      <c r="U45" t="n">
        <v>-0.09343309264771593</v>
      </c>
      <c r="V45" t="inlineStr"/>
      <c r="W45" t="inlineStr"/>
      <c r="X45" t="inlineStr"/>
    </row>
    <row r="46">
      <c r="A46" t="n">
        <v>20</v>
      </c>
      <c r="B46" t="n">
        <v>20</v>
      </c>
      <c r="C46" t="n">
        <v>20</v>
      </c>
      <c r="D46" t="inlineStr">
        <is>
          <t>sector_adaptive_jenness_integral</t>
        </is>
      </c>
      <c r="E46" t="n">
        <v>608400</v>
      </c>
      <c r="F46" t="n">
        <v>611087.8402589385</v>
      </c>
      <c r="G46" t="n">
        <v>1.004417883397335</v>
      </c>
      <c r="H46" t="n">
        <v>1521</v>
      </c>
      <c r="I46" t="n">
        <v>0.002656300028320402</v>
      </c>
      <c r="J46" t="n">
        <v>2.826857000007294</v>
      </c>
      <c r="K46" t="inlineStr">
        <is>
          <t>resampling=bilinear;dx=20;dy=20;surface=quadratic_ls_3x3;partition=8_sector_cell;min_samples=3;rel_tol=0.0001;abs_tol=0;max_level=5;runtime=compute_only</t>
        </is>
      </c>
      <c r="L46" t="n">
        <v>640000</v>
      </c>
      <c r="M46" t="n">
        <v>642814.3963220962</v>
      </c>
      <c r="N46" t="n">
        <v>1.004397494253275</v>
      </c>
      <c r="O46" t="n">
        <v>-31726.55606315774</v>
      </c>
      <c r="P46" t="n">
        <v>-0.04935570243087781</v>
      </c>
      <c r="Q46" t="n">
        <v>671088.6400000001</v>
      </c>
      <c r="R46" t="n">
        <v>674068.3692366892</v>
      </c>
      <c r="S46" t="n">
        <v>1.004440142566992</v>
      </c>
      <c r="T46" t="n">
        <v>-62980.52897775068</v>
      </c>
      <c r="U46" t="n">
        <v>-0.09343344362689714</v>
      </c>
      <c r="V46" t="n">
        <v>0.09993425378040763</v>
      </c>
      <c r="W46" t="n">
        <v>1</v>
      </c>
      <c r="X46" t="n">
        <v>0.09993425378040763</v>
      </c>
    </row>
    <row r="47">
      <c r="A47" t="n">
        <v>20</v>
      </c>
      <c r="B47" t="n">
        <v>20</v>
      </c>
      <c r="C47" t="n">
        <v>20</v>
      </c>
      <c r="D47" t="inlineStr">
        <is>
          <t>tin_2tri_cell</t>
        </is>
      </c>
      <c r="E47" t="n">
        <v>608400</v>
      </c>
      <c r="F47" t="n">
        <v>611087.7218031196</v>
      </c>
      <c r="G47" t="n">
        <v>1.004417688696778</v>
      </c>
      <c r="H47" t="n">
        <v>1521</v>
      </c>
      <c r="I47" t="n">
        <v>0.0001690999488346279</v>
      </c>
      <c r="J47" t="n">
        <v>2.826857000007294</v>
      </c>
      <c r="K47" t="inlineStr">
        <is>
          <t>resampling=bilinear;dx=20;dy=20;triangles=2;runtime=compute_only</t>
        </is>
      </c>
      <c r="L47" t="n">
        <v>640000</v>
      </c>
      <c r="M47" t="n">
        <v>642814.3963220962</v>
      </c>
      <c r="N47" t="n">
        <v>1.004397494253275</v>
      </c>
      <c r="O47" t="n">
        <v>-31726.67451897659</v>
      </c>
      <c r="P47" t="n">
        <v>-0.04935588670773833</v>
      </c>
      <c r="Q47" t="n">
        <v>671088.6400000001</v>
      </c>
      <c r="R47" t="n">
        <v>674068.3692366892</v>
      </c>
      <c r="S47" t="n">
        <v>1.004440142566992</v>
      </c>
      <c r="T47" t="n">
        <v>-62980.64743356954</v>
      </c>
      <c r="U47" t="n">
        <v>-0.09343361935954424</v>
      </c>
      <c r="V47" t="inlineStr"/>
      <c r="W47" t="inlineStr"/>
      <c r="X47" t="inlineStr"/>
    </row>
    <row r="48">
      <c r="A48" t="n">
        <v>20</v>
      </c>
      <c r="B48" t="n">
        <v>20</v>
      </c>
      <c r="C48" t="n">
        <v>20</v>
      </c>
      <c r="D48" t="inlineStr">
        <is>
          <t>native_grid_reference</t>
        </is>
      </c>
      <c r="E48" t="n">
        <v>640000</v>
      </c>
      <c r="F48" t="n">
        <v>642814.3963220962</v>
      </c>
      <c r="G48" t="n">
        <v>1.004397494253275</v>
      </c>
      <c r="H48" t="inlineStr"/>
      <c r="I48" t="inlineStr"/>
      <c r="J48" t="inlineStr"/>
      <c r="K48" t="inlineStr">
        <is>
          <t>reference_row=native_grid_reference</t>
        </is>
      </c>
      <c r="L48" t="n">
        <v>640000</v>
      </c>
      <c r="M48" t="n">
        <v>642814.3963220962</v>
      </c>
      <c r="N48" t="n">
        <v>1.004397494253275</v>
      </c>
      <c r="O48" t="n">
        <v>0</v>
      </c>
      <c r="P48" t="n">
        <v>0</v>
      </c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n">
        <v>20</v>
      </c>
      <c r="B49" t="n">
        <v>20</v>
      </c>
      <c r="C49" t="n">
        <v>20</v>
      </c>
      <c r="D49" t="inlineStr">
        <is>
          <t>continuous_ground_truth</t>
        </is>
      </c>
      <c r="E49" t="n">
        <v>671088.6400000001</v>
      </c>
      <c r="F49" t="n">
        <v>674068.3692366892</v>
      </c>
      <c r="G49" t="n">
        <v>1.004440142566992</v>
      </c>
      <c r="H49" t="inlineStr"/>
      <c r="I49" t="inlineStr"/>
      <c r="J49" t="inlineStr"/>
      <c r="K49" t="inlineStr">
        <is>
          <t>reference_row=continuous_ground_truth</t>
        </is>
      </c>
      <c r="L49" t="inlineStr"/>
      <c r="M49" t="inlineStr"/>
      <c r="N49" t="inlineStr"/>
      <c r="O49" t="inlineStr"/>
      <c r="P49" t="inlineStr"/>
      <c r="Q49" t="n">
        <v>671088.6400000001</v>
      </c>
      <c r="R49" t="n">
        <v>674068.3692366892</v>
      </c>
      <c r="S49" t="n">
        <v>1.004440142566992</v>
      </c>
      <c r="T49" t="n">
        <v>0</v>
      </c>
      <c r="U49" t="n">
        <v>0</v>
      </c>
      <c r="V49" t="inlineStr"/>
      <c r="W49" t="inlineStr"/>
      <c r="X49" t="inlineStr"/>
    </row>
    <row r="50">
      <c r="A50" t="n">
        <v>50</v>
      </c>
      <c r="B50" t="n">
        <v>50</v>
      </c>
      <c r="C50" t="n">
        <v>50</v>
      </c>
      <c r="D50" t="inlineStr">
        <is>
          <t>gradient_multiplier</t>
        </is>
      </c>
      <c r="E50" t="n">
        <v>490000</v>
      </c>
      <c r="F50" t="n">
        <v>492161.252469465</v>
      </c>
      <c r="G50" t="n">
        <v>1.004410719325439</v>
      </c>
      <c r="H50" t="n">
        <v>196</v>
      </c>
      <c r="I50" t="n">
        <v>5.139998393133283e-05</v>
      </c>
      <c r="J50" t="n">
        <v>4.134822199994233</v>
      </c>
      <c r="K50" t="inlineStr">
        <is>
          <t>resampling=bilinear;dx=50;dy=50;slope_method=horn;runtime=compute_only</t>
        </is>
      </c>
      <c r="L50" t="n">
        <v>562500</v>
      </c>
      <c r="M50" t="n">
        <v>564967.4350745231</v>
      </c>
      <c r="N50" t="n">
        <v>1.004386551243597</v>
      </c>
      <c r="O50" t="n">
        <v>-72806.18260505813</v>
      </c>
      <c r="P50" t="n">
        <v>-0.1288679277513659</v>
      </c>
      <c r="Q50" t="n">
        <v>671088.6400000001</v>
      </c>
      <c r="R50" t="n">
        <v>674068.3692366892</v>
      </c>
      <c r="S50" t="n">
        <v>1.004440142566992</v>
      </c>
      <c r="T50" t="n">
        <v>-181907.1167672242</v>
      </c>
      <c r="U50" t="n">
        <v>-0.2698644901157648</v>
      </c>
      <c r="V50" t="inlineStr"/>
      <c r="W50" t="inlineStr"/>
      <c r="X50" t="inlineStr"/>
    </row>
    <row r="51">
      <c r="A51" t="n">
        <v>50</v>
      </c>
      <c r="B51" t="n">
        <v>50</v>
      </c>
      <c r="C51" t="n">
        <v>50</v>
      </c>
      <c r="D51" t="inlineStr">
        <is>
          <t>jenness_window_8tri</t>
        </is>
      </c>
      <c r="E51" t="n">
        <v>490000</v>
      </c>
      <c r="F51" t="n">
        <v>492161.6024923865</v>
      </c>
      <c r="G51" t="n">
        <v>1.004411433657932</v>
      </c>
      <c r="H51" t="n">
        <v>196</v>
      </c>
      <c r="I51" t="n">
        <v>0.0001120000379160047</v>
      </c>
      <c r="J51" t="n">
        <v>4.134822199994233</v>
      </c>
      <c r="K51" t="inlineStr">
        <is>
          <t>resampling=bilinear;dx=50;dy=50;weight=0.25;triangle=heron;runtime=compute_only</t>
        </is>
      </c>
      <c r="L51" t="n">
        <v>562500</v>
      </c>
      <c r="M51" t="n">
        <v>564967.4350745231</v>
      </c>
      <c r="N51" t="n">
        <v>1.004386551243597</v>
      </c>
      <c r="O51" t="n">
        <v>-72805.83258213662</v>
      </c>
      <c r="P51" t="n">
        <v>-0.1288673082060615</v>
      </c>
      <c r="Q51" t="n">
        <v>671088.6400000001</v>
      </c>
      <c r="R51" t="n">
        <v>674068.3692366892</v>
      </c>
      <c r="S51" t="n">
        <v>1.004440142566992</v>
      </c>
      <c r="T51" t="n">
        <v>-181906.7667443027</v>
      </c>
      <c r="U51" t="n">
        <v>-0.2698639708465965</v>
      </c>
      <c r="V51" t="inlineStr"/>
      <c r="W51" t="inlineStr"/>
      <c r="X51" t="inlineStr"/>
    </row>
    <row r="52">
      <c r="A52" t="n">
        <v>50</v>
      </c>
      <c r="B52" t="n">
        <v>50</v>
      </c>
      <c r="C52" t="n">
        <v>50</v>
      </c>
      <c r="D52" t="inlineStr">
        <is>
          <t>sector_adaptive_jenness_integral</t>
        </is>
      </c>
      <c r="E52" t="n">
        <v>490000</v>
      </c>
      <c r="F52" t="n">
        <v>492161.3691393294</v>
      </c>
      <c r="G52" t="n">
        <v>1.004410957427203</v>
      </c>
      <c r="H52" t="n">
        <v>196</v>
      </c>
      <c r="I52" t="n">
        <v>0.001573000045027584</v>
      </c>
      <c r="J52" t="n">
        <v>4.134822199994233</v>
      </c>
      <c r="K52" t="inlineStr">
        <is>
          <t>resampling=bilinear;dx=50;dy=50;surface=quadratic_ls_3x3;partition=8_sector_cell;min_samples=3;rel_tol=0.0001;abs_tol=0;max_level=5;runtime=compute_only</t>
        </is>
      </c>
      <c r="L52" t="n">
        <v>562500</v>
      </c>
      <c r="M52" t="n">
        <v>564967.4350745231</v>
      </c>
      <c r="N52" t="n">
        <v>1.004386551243597</v>
      </c>
      <c r="O52" t="n">
        <v>-72806.06593519374</v>
      </c>
      <c r="P52" t="n">
        <v>-0.1288677212441282</v>
      </c>
      <c r="Q52" t="n">
        <v>671088.6400000001</v>
      </c>
      <c r="R52" t="n">
        <v>674068.3692366892</v>
      </c>
      <c r="S52" t="n">
        <v>1.004440142566992</v>
      </c>
      <c r="T52" t="n">
        <v>-181907.0000973598</v>
      </c>
      <c r="U52" t="n">
        <v>-0.269864317032633</v>
      </c>
      <c r="V52" t="n">
        <v>0.1377551020408163</v>
      </c>
      <c r="W52" t="n">
        <v>1</v>
      </c>
      <c r="X52" t="n">
        <v>0.1377551020408163</v>
      </c>
    </row>
    <row r="53">
      <c r="A53" t="n">
        <v>50</v>
      </c>
      <c r="B53" t="n">
        <v>50</v>
      </c>
      <c r="C53" t="n">
        <v>50</v>
      </c>
      <c r="D53" t="inlineStr">
        <is>
          <t>tin_2tri_cell</t>
        </is>
      </c>
      <c r="E53" t="n">
        <v>490000</v>
      </c>
      <c r="F53" t="n">
        <v>492161.252469465</v>
      </c>
      <c r="G53" t="n">
        <v>1.004410719325439</v>
      </c>
      <c r="H53" t="n">
        <v>196</v>
      </c>
      <c r="I53" t="n">
        <v>0.0001221999991685152</v>
      </c>
      <c r="J53" t="n">
        <v>4.134822199994233</v>
      </c>
      <c r="K53" t="inlineStr">
        <is>
          <t>resampling=bilinear;dx=50;dy=50;triangles=2;runtime=compute_only</t>
        </is>
      </c>
      <c r="L53" t="n">
        <v>562500</v>
      </c>
      <c r="M53" t="n">
        <v>564967.4350745231</v>
      </c>
      <c r="N53" t="n">
        <v>1.004386551243597</v>
      </c>
      <c r="O53" t="n">
        <v>-72806.18260505807</v>
      </c>
      <c r="P53" t="n">
        <v>-0.1288679277513658</v>
      </c>
      <c r="Q53" t="n">
        <v>671088.6400000001</v>
      </c>
      <c r="R53" t="n">
        <v>674068.3692366892</v>
      </c>
      <c r="S53" t="n">
        <v>1.004440142566992</v>
      </c>
      <c r="T53" t="n">
        <v>-181907.1167672242</v>
      </c>
      <c r="U53" t="n">
        <v>-0.2698644901157647</v>
      </c>
      <c r="V53" t="inlineStr"/>
      <c r="W53" t="inlineStr"/>
      <c r="X53" t="inlineStr"/>
    </row>
    <row r="54">
      <c r="A54" t="n">
        <v>50</v>
      </c>
      <c r="B54" t="n">
        <v>50</v>
      </c>
      <c r="C54" t="n">
        <v>50</v>
      </c>
      <c r="D54" t="inlineStr">
        <is>
          <t>native_grid_reference</t>
        </is>
      </c>
      <c r="E54" t="n">
        <v>562500</v>
      </c>
      <c r="F54" t="n">
        <v>564967.4350745231</v>
      </c>
      <c r="G54" t="n">
        <v>1.004386551243597</v>
      </c>
      <c r="H54" t="inlineStr"/>
      <c r="I54" t="inlineStr"/>
      <c r="J54" t="inlineStr"/>
      <c r="K54" t="inlineStr">
        <is>
          <t>reference_row=native_grid_reference</t>
        </is>
      </c>
      <c r="L54" t="n">
        <v>562500</v>
      </c>
      <c r="M54" t="n">
        <v>564967.4350745231</v>
      </c>
      <c r="N54" t="n">
        <v>1.004386551243597</v>
      </c>
      <c r="O54" t="n">
        <v>0</v>
      </c>
      <c r="P54" t="n">
        <v>0</v>
      </c>
      <c r="Q54" t="inlineStr"/>
      <c r="R54" t="inlineStr"/>
      <c r="S54" t="inlineStr"/>
      <c r="T54" t="inlineStr"/>
      <c r="U54" t="inlineStr"/>
      <c r="V54" t="inlineStr"/>
      <c r="W54" t="inlineStr"/>
      <c r="X54" t="inlineStr"/>
    </row>
    <row r="55">
      <c r="A55" t="n">
        <v>50</v>
      </c>
      <c r="B55" t="n">
        <v>50</v>
      </c>
      <c r="C55" t="n">
        <v>50</v>
      </c>
      <c r="D55" t="inlineStr">
        <is>
          <t>continuous_ground_truth</t>
        </is>
      </c>
      <c r="E55" t="n">
        <v>671088.6400000001</v>
      </c>
      <c r="F55" t="n">
        <v>674068.3692366892</v>
      </c>
      <c r="G55" t="n">
        <v>1.004440142566992</v>
      </c>
      <c r="H55" t="inlineStr"/>
      <c r="I55" t="inlineStr"/>
      <c r="J55" t="inlineStr"/>
      <c r="K55" t="inlineStr">
        <is>
          <t>reference_row=continuous_ground_truth</t>
        </is>
      </c>
      <c r="L55" t="inlineStr"/>
      <c r="M55" t="inlineStr"/>
      <c r="N55" t="inlineStr"/>
      <c r="O55" t="inlineStr"/>
      <c r="P55" t="inlineStr"/>
      <c r="Q55" t="n">
        <v>671088.6400000001</v>
      </c>
      <c r="R55" t="n">
        <v>674068.3692366892</v>
      </c>
      <c r="S55" t="n">
        <v>1.004440142566992</v>
      </c>
      <c r="T55" t="n">
        <v>0</v>
      </c>
      <c r="U55" t="n">
        <v>0</v>
      </c>
      <c r="V55" t="inlineStr"/>
      <c r="W55" t="inlineStr"/>
      <c r="X5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gsd_m</t>
        </is>
      </c>
      <c r="B1" t="inlineStr">
        <is>
          <t>gradient_multiplier_A3D</t>
        </is>
      </c>
      <c r="C1" t="inlineStr">
        <is>
          <t>jenness_window_8tri_A3D</t>
        </is>
      </c>
      <c r="D1" t="inlineStr">
        <is>
          <t>sector_adaptive_jenness_integral_A3D</t>
        </is>
      </c>
      <c r="E1" t="inlineStr">
        <is>
          <t>tin_2tri_cell_A3D</t>
        </is>
      </c>
    </row>
    <row r="2">
      <c r="A2" t="n">
        <v>0.05</v>
      </c>
      <c r="B2" t="n">
        <v>673903.8124909609</v>
      </c>
      <c r="C2" t="n">
        <v>673903.8168679982</v>
      </c>
      <c r="D2" t="n">
        <v>673903.8124514822</v>
      </c>
      <c r="E2" t="n">
        <v>673903.8128086656</v>
      </c>
    </row>
    <row r="3">
      <c r="A3" t="n">
        <v>0.1</v>
      </c>
      <c r="B3" t="n">
        <v>673739.1988945567</v>
      </c>
      <c r="C3" t="n">
        <v>673739.2026911676</v>
      </c>
      <c r="D3" t="n">
        <v>673739.199556281</v>
      </c>
      <c r="E3" t="n">
        <v>673739.1989714823</v>
      </c>
    </row>
    <row r="4">
      <c r="A4" t="n">
        <v>0.5</v>
      </c>
      <c r="B4" t="n">
        <v>672094.8280338536</v>
      </c>
      <c r="C4" t="n">
        <v>672094.8322400914</v>
      </c>
      <c r="D4" t="n">
        <v>672094.8294137615</v>
      </c>
      <c r="E4" t="n">
        <v>672094.8280354417</v>
      </c>
    </row>
    <row r="5">
      <c r="A5" t="n">
        <v>1</v>
      </c>
      <c r="B5" t="n">
        <v>670452.2776557324</v>
      </c>
      <c r="C5" t="n">
        <v>670452.2870670941</v>
      </c>
      <c r="D5" t="n">
        <v>670452.280788884</v>
      </c>
      <c r="E5" t="n">
        <v>670452.2776563147</v>
      </c>
    </row>
    <row r="6">
      <c r="A6" t="n">
        <v>2</v>
      </c>
      <c r="B6" t="n">
        <v>668810.0004752796</v>
      </c>
      <c r="C6" t="n">
        <v>668810.1483939345</v>
      </c>
      <c r="D6" t="n">
        <v>668810.0497821799</v>
      </c>
      <c r="E6" t="n">
        <v>668810.0004753815</v>
      </c>
    </row>
    <row r="7">
      <c r="A7" t="n">
        <v>5</v>
      </c>
      <c r="B7" t="n">
        <v>659008.8445771658</v>
      </c>
      <c r="C7" t="n">
        <v>659008.991698852</v>
      </c>
      <c r="D7" t="n">
        <v>659008.8936174789</v>
      </c>
      <c r="E7" t="n">
        <v>659008.8445771661</v>
      </c>
    </row>
    <row r="8">
      <c r="A8" t="n">
        <v>10</v>
      </c>
      <c r="B8" t="n">
        <v>642834.1918881485</v>
      </c>
      <c r="C8" t="n">
        <v>642834.4039135354</v>
      </c>
      <c r="D8" t="n">
        <v>642834.262596674</v>
      </c>
      <c r="E8" t="n">
        <v>642834.1918882048</v>
      </c>
    </row>
    <row r="9">
      <c r="A9" t="n">
        <v>20</v>
      </c>
      <c r="B9" t="n">
        <v>611087.721803065</v>
      </c>
      <c r="C9" t="n">
        <v>611088.0768429028</v>
      </c>
      <c r="D9" t="n">
        <v>611087.8402589385</v>
      </c>
      <c r="E9" t="n">
        <v>611087.7218031196</v>
      </c>
    </row>
    <row r="10">
      <c r="A10" t="n">
        <v>50</v>
      </c>
      <c r="B10" t="n">
        <v>492161.252469465</v>
      </c>
      <c r="C10" t="n">
        <v>492161.6024923865</v>
      </c>
      <c r="D10" t="n">
        <v>492161.3691393294</v>
      </c>
      <c r="E10" t="n">
        <v>492161.252469465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reference_kind</t>
        </is>
      </c>
      <c r="B1" t="inlineStr">
        <is>
          <t>gsd_m</t>
        </is>
      </c>
      <c r="C1" t="inlineStr">
        <is>
          <t>dx</t>
        </is>
      </c>
      <c r="D1" t="inlineStr">
        <is>
          <t>dy</t>
        </is>
      </c>
      <c r="E1" t="inlineStr">
        <is>
          <t>reference_A2D</t>
        </is>
      </c>
      <c r="F1" t="inlineStr">
        <is>
          <t>reference_A3D</t>
        </is>
      </c>
      <c r="G1" t="inlineStr">
        <is>
          <t>reference_ratio</t>
        </is>
      </c>
      <c r="H1" t="inlineStr">
        <is>
          <t>note</t>
        </is>
      </c>
    </row>
    <row r="2">
      <c r="A2" t="inlineStr">
        <is>
          <t>continuous_ground_truth</t>
        </is>
      </c>
      <c r="B2" t="inlineStr"/>
      <c r="C2" t="inlineStr"/>
      <c r="D2" t="inlineStr"/>
      <c r="E2" t="n">
        <v>671088.6400000001</v>
      </c>
      <c r="F2" t="n">
        <v>674068.3692366892</v>
      </c>
      <c r="G2" t="n">
        <v>1.004440142566992</v>
      </c>
      <c r="H2" t="inlineStr">
        <is>
          <t>Analytic surface reference; same for all GSD values.</t>
        </is>
      </c>
    </row>
    <row r="3">
      <c r="A3" t="inlineStr">
        <is>
          <t>native_grid_reference</t>
        </is>
      </c>
      <c r="B3" t="n">
        <v>0.05</v>
      </c>
      <c r="C3" t="n">
        <v>0.05</v>
      </c>
      <c r="D3" t="n">
        <v>0.05</v>
      </c>
      <c r="E3" t="n">
        <v>671006.7225000001</v>
      </c>
      <c r="F3" t="n">
        <v>673986.0930456421</v>
      </c>
      <c r="G3" t="n">
        <v>1.004440150069647</v>
      </c>
      <c r="H3" t="inlineStr">
        <is>
          <t>Raster-grid reference evaluated on this GSD/grid.</t>
        </is>
      </c>
    </row>
    <row r="4">
      <c r="A4" t="inlineStr">
        <is>
          <t>native_grid_reference</t>
        </is>
      </c>
      <c r="B4" t="n">
        <v>0.1</v>
      </c>
      <c r="C4" t="n">
        <v>0.1</v>
      </c>
      <c r="D4" t="n">
        <v>0.1</v>
      </c>
      <c r="E4" t="n">
        <v>670924.8100000002</v>
      </c>
      <c r="F4" t="n">
        <v>673903.6664539385</v>
      </c>
      <c r="G4" t="n">
        <v>1.004439925919476</v>
      </c>
      <c r="H4" t="inlineStr">
        <is>
          <t>Raster-grid reference evaluated on this GSD/grid.</t>
        </is>
      </c>
    </row>
    <row r="5">
      <c r="A5" t="inlineStr">
        <is>
          <t>native_grid_reference</t>
        </is>
      </c>
      <c r="B5" t="n">
        <v>0.5</v>
      </c>
      <c r="C5" t="n">
        <v>0.5</v>
      </c>
      <c r="D5" t="n">
        <v>0.5</v>
      </c>
      <c r="E5" t="n">
        <v>669942.25</v>
      </c>
      <c r="F5" t="n">
        <v>672916.5413896602</v>
      </c>
      <c r="G5" t="n">
        <v>1.004439623549135</v>
      </c>
      <c r="H5" t="inlineStr">
        <is>
          <t>Raster-grid reference evaluated on this GSD/grid.</t>
        </is>
      </c>
    </row>
    <row r="6">
      <c r="A6" t="inlineStr">
        <is>
          <t>native_grid_reference</t>
        </is>
      </c>
      <c r="B6" t="n">
        <v>1</v>
      </c>
      <c r="C6" t="n">
        <v>1</v>
      </c>
      <c r="D6" t="n">
        <v>1</v>
      </c>
      <c r="E6" t="n">
        <v>669124</v>
      </c>
      <c r="F6" t="n">
        <v>672094.0863867436</v>
      </c>
      <c r="G6" t="n">
        <v>1.004438768280234</v>
      </c>
      <c r="H6" t="inlineStr">
        <is>
          <t>Raster-grid reference evaluated on this GSD/grid.</t>
        </is>
      </c>
    </row>
    <row r="7">
      <c r="A7" t="inlineStr">
        <is>
          <t>native_grid_reference</t>
        </is>
      </c>
      <c r="B7" t="n">
        <v>2</v>
      </c>
      <c r="C7" t="n">
        <v>2</v>
      </c>
      <c r="D7" t="n">
        <v>2</v>
      </c>
      <c r="E7" t="n">
        <v>669124</v>
      </c>
      <c r="F7" t="n">
        <v>672090.3001107695</v>
      </c>
      <c r="G7" t="n">
        <v>1.004433109723713</v>
      </c>
      <c r="H7" t="inlineStr">
        <is>
          <t>Raster-grid reference evaluated on this GSD/grid.</t>
        </is>
      </c>
    </row>
    <row r="8">
      <c r="A8" t="inlineStr">
        <is>
          <t>native_grid_reference</t>
        </is>
      </c>
      <c r="B8" t="n">
        <v>5</v>
      </c>
      <c r="C8" t="n">
        <v>5</v>
      </c>
      <c r="D8" t="n">
        <v>5</v>
      </c>
      <c r="E8" t="n">
        <v>664225</v>
      </c>
      <c r="F8" t="n">
        <v>667165.8297394898</v>
      </c>
      <c r="G8" t="n">
        <v>1.004427460182152</v>
      </c>
      <c r="H8" t="inlineStr">
        <is>
          <t>Raster-grid reference evaluated on this GSD/grid.</t>
        </is>
      </c>
    </row>
    <row r="9">
      <c r="A9" t="inlineStr">
        <is>
          <t>native_grid_reference</t>
        </is>
      </c>
      <c r="B9" t="n">
        <v>10</v>
      </c>
      <c r="C9" t="n">
        <v>10</v>
      </c>
      <c r="D9" t="n">
        <v>10</v>
      </c>
      <c r="E9" t="n">
        <v>656100</v>
      </c>
      <c r="F9" t="n">
        <v>658998.420864823</v>
      </c>
      <c r="G9" t="n">
        <v>1.004417651066641</v>
      </c>
      <c r="H9" t="inlineStr">
        <is>
          <t>Raster-grid reference evaluated on this GSD/grid.</t>
        </is>
      </c>
    </row>
    <row r="10">
      <c r="A10" t="inlineStr">
        <is>
          <t>native_grid_reference</t>
        </is>
      </c>
      <c r="B10" t="n">
        <v>20</v>
      </c>
      <c r="C10" t="n">
        <v>20</v>
      </c>
      <c r="D10" t="n">
        <v>20</v>
      </c>
      <c r="E10" t="n">
        <v>640000</v>
      </c>
      <c r="F10" t="n">
        <v>642814.3963220962</v>
      </c>
      <c r="G10" t="n">
        <v>1.004397494253275</v>
      </c>
      <c r="H10" t="inlineStr">
        <is>
          <t>Raster-grid reference evaluated on this GSD/grid.</t>
        </is>
      </c>
    </row>
    <row r="11">
      <c r="A11" t="inlineStr">
        <is>
          <t>native_grid_reference</t>
        </is>
      </c>
      <c r="B11" t="n">
        <v>50</v>
      </c>
      <c r="C11" t="n">
        <v>50</v>
      </c>
      <c r="D11" t="n">
        <v>50</v>
      </c>
      <c r="E11" t="n">
        <v>562500</v>
      </c>
      <c r="F11" t="n">
        <v>564967.4350745231</v>
      </c>
      <c r="G11" t="n">
        <v>1.004386551243597</v>
      </c>
      <c r="H11" t="inlineStr">
        <is>
          <t>Raster-grid reference evaluated on this GSD/grid.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timestamp_utc</t>
        </is>
      </c>
      <c r="B2" t="inlineStr">
        <is>
          <t>2026-03-17T13:50:52.852462+00:00</t>
        </is>
      </c>
    </row>
    <row r="3">
      <c r="A3" t="inlineStr">
        <is>
          <t>dem</t>
        </is>
      </c>
      <c r="B3" t="inlineStr">
        <is>
          <t>C:\d_surucusu\yuzey_alani_hesaplama\out_synth\synth_analytic_tilted_plane_16384x16384_dx0.05_seed0_20260315_213848.tif</t>
        </is>
      </c>
    </row>
    <row r="4">
      <c r="A4" t="inlineStr">
        <is>
          <t>dem_info.path</t>
        </is>
      </c>
      <c r="B4" t="inlineStr">
        <is>
          <t>C:\d_surucusu\yuzey_alani_hesaplama\out_synth\synth_analytic_tilted_plane_16384x16384_dx0.05_seed0_20260315_213848.tif</t>
        </is>
      </c>
    </row>
    <row r="5">
      <c r="A5" t="inlineStr">
        <is>
          <t>dem_info.crs</t>
        </is>
      </c>
      <c r="B5" t="inlineStr">
        <is>
          <t>EPSG:32636</t>
        </is>
      </c>
    </row>
    <row r="6">
      <c r="A6" t="inlineStr">
        <is>
          <t>dem_info.transform</t>
        </is>
      </c>
      <c r="B6" t="inlineStr">
        <is>
          <t>[0.05, 0.0, 500000.0, 0.0, -0.05, 4500000.0, 0.0, 0.0, 1.0]</t>
        </is>
      </c>
    </row>
    <row r="7">
      <c r="A7" t="inlineStr">
        <is>
          <t>dem_info.width</t>
        </is>
      </c>
      <c r="B7" t="n">
        <v>16384</v>
      </c>
    </row>
    <row r="8">
      <c r="A8" t="inlineStr">
        <is>
          <t>dem_info.height</t>
        </is>
      </c>
      <c r="B8" t="n">
        <v>16384</v>
      </c>
    </row>
    <row r="9">
      <c r="A9" t="inlineStr">
        <is>
          <t>dem_info.nodata</t>
        </is>
      </c>
      <c r="B9" t="n">
        <v>-9999</v>
      </c>
    </row>
    <row r="10">
      <c r="A10" t="inlineStr">
        <is>
          <t>dem_info.dtype</t>
        </is>
      </c>
      <c r="B10" t="inlineStr">
        <is>
          <t>float32</t>
        </is>
      </c>
    </row>
    <row r="11">
      <c r="A11" t="inlineStr">
        <is>
          <t>dem_info.dx</t>
        </is>
      </c>
      <c r="B11" t="n">
        <v>0.05</v>
      </c>
    </row>
    <row r="12">
      <c r="A12" t="inlineStr">
        <is>
          <t>dem_info.dy</t>
        </is>
      </c>
      <c r="B12" t="n">
        <v>0.05</v>
      </c>
    </row>
    <row r="13">
      <c r="A13" t="inlineStr">
        <is>
          <t>synthetic_reference.sidecar_path</t>
        </is>
      </c>
      <c r="B13" t="inlineStr">
        <is>
          <t>C:\d_surucusu\yuzey_alani_hesaplama\out_synth\synth_analytic_tilted_plane_16384x16384_dx0.05_seed0_20260315_213848.reference.json</t>
        </is>
      </c>
    </row>
    <row r="14">
      <c r="A14" t="inlineStr">
        <is>
          <t>synthetic_reference.terrain_family</t>
        </is>
      </c>
      <c r="B14" t="inlineStr">
        <is>
          <t>analytic</t>
        </is>
      </c>
    </row>
    <row r="15">
      <c r="A15" t="inlineStr">
        <is>
          <t>synthetic_reference.has_continuous_ground_truth</t>
        </is>
      </c>
      <c r="B15" t="b">
        <v>1</v>
      </c>
    </row>
    <row r="16">
      <c r="A16" t="inlineStr">
        <is>
          <t>synthetic_reference.continuous_gt_is_gsd_independent</t>
        </is>
      </c>
      <c r="B16" t="b">
        <v>1</v>
      </c>
    </row>
    <row r="17">
      <c r="A17" t="inlineStr">
        <is>
          <t>synthetic_reference.continuous_gt_surface_area_m2</t>
        </is>
      </c>
      <c r="B17" t="n">
        <v>674068.3692366892</v>
      </c>
    </row>
    <row r="18">
      <c r="A18" t="inlineStr">
        <is>
          <t>synthetic_reference.continuous_gt_planar_area_m2</t>
        </is>
      </c>
      <c r="B18" t="n">
        <v>671088.6400000001</v>
      </c>
    </row>
    <row r="19">
      <c r="A19" t="inlineStr">
        <is>
          <t>synthetic_reference.native_reference_surface_area_m2</t>
        </is>
      </c>
      <c r="B19" t="n">
        <v>673986.0880113104</v>
      </c>
    </row>
    <row r="20">
      <c r="A20" t="inlineStr">
        <is>
          <t>synthetic_reference.resolution_count</t>
        </is>
      </c>
      <c r="B20" t="n">
        <v>1</v>
      </c>
    </row>
    <row r="21">
      <c r="A21" t="inlineStr">
        <is>
          <t>versions.python</t>
        </is>
      </c>
      <c r="B21" t="inlineStr">
        <is>
          <t>3.12.13 | packaged by conda-forge | (main, Mar  5 2026, 16:36:12) [MSC v.1944 64 bit (AMD64)]</t>
        </is>
      </c>
    </row>
    <row r="22">
      <c r="A22" t="inlineStr">
        <is>
          <t>versions.surface_area</t>
        </is>
      </c>
      <c r="B22" t="inlineStr">
        <is>
          <t>0.1.0</t>
        </is>
      </c>
    </row>
    <row r="23">
      <c r="A23" t="inlineStr">
        <is>
          <t>versions.numpy</t>
        </is>
      </c>
      <c r="B23" t="inlineStr">
        <is>
          <t>2.4.2</t>
        </is>
      </c>
    </row>
    <row r="24">
      <c r="A24" t="inlineStr">
        <is>
          <t>versions.numba</t>
        </is>
      </c>
      <c r="B24" t="inlineStr">
        <is>
          <t>0.64.0</t>
        </is>
      </c>
    </row>
    <row r="25">
      <c r="A25" t="inlineStr">
        <is>
          <t>versions.rasterio</t>
        </is>
      </c>
      <c r="B25" t="inlineStr">
        <is>
          <t>1.5.0</t>
        </is>
      </c>
    </row>
    <row r="26">
      <c r="A26" t="inlineStr">
        <is>
          <t>versions.scipy</t>
        </is>
      </c>
      <c r="B26" t="inlineStr">
        <is>
          <t>1.17.1</t>
        </is>
      </c>
    </row>
    <row r="27">
      <c r="A27" t="inlineStr">
        <is>
          <t>versions.pandas</t>
        </is>
      </c>
      <c r="B27" t="inlineStr">
        <is>
          <t>3.0.1</t>
        </is>
      </c>
    </row>
    <row r="28">
      <c r="A28" t="inlineStr">
        <is>
          <t>versions.matplotlib</t>
        </is>
      </c>
      <c r="B28" t="inlineStr">
        <is>
          <t>3.10.8</t>
        </is>
      </c>
    </row>
    <row r="29">
      <c r="A29" t="inlineStr">
        <is>
          <t>params.gsd_specs</t>
        </is>
      </c>
      <c r="B29" t="inlineStr">
        <is>
          <t>["native", "0.1", "0.5", "1", "2", "5", "10", "20", "50"]</t>
        </is>
      </c>
    </row>
    <row r="30">
      <c r="A30" t="inlineStr">
        <is>
          <t>params.gsd_list</t>
        </is>
      </c>
      <c r="B30" t="inlineStr">
        <is>
          <t>[0.05, 0.1, 0.5, 1.0, 2.0, 5.0, 10.0, 20.0, 50.0]</t>
        </is>
      </c>
    </row>
    <row r="31">
      <c r="A31" t="inlineStr">
        <is>
          <t>params.allow_upsample</t>
        </is>
      </c>
      <c r="B31" t="b">
        <v>0</v>
      </c>
    </row>
    <row r="32">
      <c r="A32" t="inlineStr">
        <is>
          <t>params.methods</t>
        </is>
      </c>
      <c r="B32" t="inlineStr">
        <is>
          <t>["jenness_window_8tri", "sector_adaptive_jenness_integral", "tin_2tri_cell", "gradient_multiplier"]</t>
        </is>
      </c>
    </row>
    <row r="33">
      <c r="A33" t="inlineStr">
        <is>
          <t>params.resampling</t>
        </is>
      </c>
      <c r="B33" t="inlineStr">
        <is>
          <t>bilinear</t>
        </is>
      </c>
    </row>
    <row r="34">
      <c r="A34" t="inlineStr">
        <is>
          <t>params.nodata_override</t>
        </is>
      </c>
      <c r="B34" t="inlineStr"/>
    </row>
    <row r="35">
      <c r="A35" t="inlineStr">
        <is>
          <t>params.slope_method</t>
        </is>
      </c>
      <c r="B35" t="inlineStr">
        <is>
          <t>horn</t>
        </is>
      </c>
    </row>
    <row r="36">
      <c r="A36" t="inlineStr">
        <is>
          <t>params.jenness_weight</t>
        </is>
      </c>
      <c r="B36" t="n">
        <v>0.25</v>
      </c>
    </row>
    <row r="37">
      <c r="A37" t="inlineStr">
        <is>
          <t>params.integral_N</t>
        </is>
      </c>
      <c r="B37" t="n">
        <v>5</v>
      </c>
    </row>
    <row r="38">
      <c r="A38" t="inlineStr">
        <is>
          <t>params.adaptive_rel_tol</t>
        </is>
      </c>
      <c r="B38" t="n">
        <v>0.0001</v>
      </c>
    </row>
    <row r="39">
      <c r="A39" t="inlineStr">
        <is>
          <t>params.adaptive_abs_tol</t>
        </is>
      </c>
      <c r="B39" t="n">
        <v>0</v>
      </c>
    </row>
    <row r="40">
      <c r="A40" t="inlineStr">
        <is>
          <t>params.adaptive_max_level</t>
        </is>
      </c>
      <c r="B40" t="n">
        <v>5</v>
      </c>
    </row>
    <row r="41">
      <c r="A41" t="inlineStr">
        <is>
          <t>params.adaptive_min_N</t>
        </is>
      </c>
      <c r="B41" t="n">
        <v>2</v>
      </c>
    </row>
    <row r="42">
      <c r="A42" t="inlineStr">
        <is>
          <t>params.adaptive_roughness_fastpath</t>
        </is>
      </c>
      <c r="B42" t="b">
        <v>1</v>
      </c>
    </row>
    <row r="43">
      <c r="A43" t="inlineStr">
        <is>
          <t>params.adaptive_roughness_threshold</t>
        </is>
      </c>
      <c r="B43" t="inlineStr"/>
    </row>
    <row r="44">
      <c r="A44" t="inlineStr">
        <is>
          <t>params.sector_jenness_rel_tol</t>
        </is>
      </c>
      <c r="B44" t="n">
        <v>0.0001</v>
      </c>
    </row>
    <row r="45">
      <c r="A45" t="inlineStr">
        <is>
          <t>params.sector_jenness_abs_tol</t>
        </is>
      </c>
      <c r="B45" t="n">
        <v>0</v>
      </c>
    </row>
    <row r="46">
      <c r="A46" t="inlineStr">
        <is>
          <t>params.sector_jenness_max_level</t>
        </is>
      </c>
      <c r="B46" t="n">
        <v>5</v>
      </c>
    </row>
    <row r="47">
      <c r="A47" t="inlineStr">
        <is>
          <t>params.sector_jenness_min_samples</t>
        </is>
      </c>
      <c r="B47" t="n">
        <v>3</v>
      </c>
    </row>
    <row r="48">
      <c r="A48" t="inlineStr">
        <is>
          <t>params.sigma_mode</t>
        </is>
      </c>
      <c r="B48" t="inlineStr">
        <is>
          <t>mult</t>
        </is>
      </c>
    </row>
    <row r="49">
      <c r="A49" t="inlineStr">
        <is>
          <t>params.sigma_m_values</t>
        </is>
      </c>
      <c r="B49" t="inlineStr">
        <is>
          <t>[2.0, 5.0]</t>
        </is>
      </c>
    </row>
    <row r="50">
      <c r="A50" t="inlineStr">
        <is>
          <t>params.roi</t>
        </is>
      </c>
      <c r="B50" t="inlineStr"/>
    </row>
    <row r="51">
      <c r="A51" t="inlineStr">
        <is>
          <t>params.roi_id_field</t>
        </is>
      </c>
      <c r="B51" t="inlineStr"/>
    </row>
    <row r="52">
      <c r="A52" t="inlineStr">
        <is>
          <t>params.roi_mode</t>
        </is>
      </c>
      <c r="B52" t="inlineStr">
        <is>
          <t>mask</t>
        </is>
      </c>
    </row>
    <row r="53">
      <c r="A53" t="inlineStr">
        <is>
          <t>params.roi_all_touched</t>
        </is>
      </c>
      <c r="B53" t="b">
        <v>0</v>
      </c>
    </row>
    <row r="54">
      <c r="A54" t="inlineStr">
        <is>
          <t>params.roi_only</t>
        </is>
      </c>
      <c r="B54" t="b">
        <v>0</v>
      </c>
    </row>
    <row r="55">
      <c r="A55" t="inlineStr">
        <is>
          <t>params.workers</t>
        </is>
      </c>
      <c r="B55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61"/>
  <sheetViews>
    <sheetView showGridLines="1" showRowColHeaders="1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34" customWidth="1" min="3" max="3"/>
    <col width="22" customWidth="1" min="4" max="4"/>
    <col width="47" customWidth="1" min="5" max="5"/>
    <col width="35" customWidth="1" min="6" max="6"/>
    <col width="28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4" customHeight="1">
      <c r="A1" s="1" t="inlineStr">
        <is>
          <t>Grafikler</t>
        </is>
      </c>
    </row>
    <row r="2" ht="20" customHeight="1">
      <c r="A2" s="2" t="inlineStr">
        <is>
          <t>Excel chart nesneleri ile duzenlenebilir dashboard gorunumu</t>
        </is>
      </c>
    </row>
    <row r="3" ht="22" customHeight="1">
      <c r="A3" s="3" t="inlineStr">
        <is>
          <t>Kaynak tablolar asagidadadir. Seri, eksen ve stil ayarlarini Excel icinden degistirebilirsiniz.</t>
        </is>
      </c>
    </row>
    <row r="4" ht="36" customHeight="1">
      <c r="A4" s="3" t="inlineStr">
        <is>
          <t>Ipuclari: legend veya seri ustune tiklayip renk/kalinlik degistirebilir, eksenleri sag tikla bicimlendirebilirsiniz.</t>
        </is>
      </c>
    </row>
    <row r="173" ht="20" customHeight="1">
      <c r="A173" s="4" t="inlineStr">
        <is>
          <t>A3D vs GSD - kaynak veri</t>
        </is>
      </c>
    </row>
    <row r="174" ht="22" customHeight="1">
      <c r="A174" s="5" t="inlineStr">
        <is>
          <t>gsd_m</t>
        </is>
      </c>
      <c r="B174" s="5" t="inlineStr">
        <is>
          <t>gradient_multiplier</t>
        </is>
      </c>
      <c r="C174" s="5" t="inlineStr">
        <is>
          <t>jenness_window_8tri</t>
        </is>
      </c>
      <c r="D174" s="5" t="inlineStr">
        <is>
          <t>sector_adaptive_jenness_integral</t>
        </is>
      </c>
      <c r="E174" s="5" t="inlineStr">
        <is>
          <t>tin_2tri_cell</t>
        </is>
      </c>
      <c r="F174" s="5" t="inlineStr">
        <is>
          <t>Native-grid reference (per GSD)</t>
        </is>
      </c>
      <c r="G174" s="5" t="inlineStr">
        <is>
          <t>Continuous ground truth (GSD-independent)</t>
        </is>
      </c>
    </row>
    <row r="175">
      <c r="A175" s="6" t="n">
        <v>0.05</v>
      </c>
      <c r="B175" s="6" t="n">
        <v>673903.8124909609</v>
      </c>
      <c r="C175" s="6" t="n">
        <v>673903.8168679982</v>
      </c>
      <c r="D175" s="6" t="n">
        <v>673903.8124514822</v>
      </c>
      <c r="E175" s="6" t="n">
        <v>673903.8128086656</v>
      </c>
      <c r="F175" s="6" t="n">
        <v>673986.0930456421</v>
      </c>
      <c r="G175" s="6" t="n">
        <v>674068.3692366892</v>
      </c>
    </row>
    <row r="176">
      <c r="A176" s="7" t="n">
        <v>0.1</v>
      </c>
      <c r="B176" s="7" t="n">
        <v>673739.1988945567</v>
      </c>
      <c r="C176" s="7" t="n">
        <v>673739.2026911676</v>
      </c>
      <c r="D176" s="7" t="n">
        <v>673739.199556281</v>
      </c>
      <c r="E176" s="7" t="n">
        <v>673739.1989714823</v>
      </c>
      <c r="F176" s="7" t="n">
        <v>673903.6664539385</v>
      </c>
      <c r="G176" s="7" t="n">
        <v>674068.3692366892</v>
      </c>
    </row>
    <row r="177">
      <c r="A177" s="6" t="n">
        <v>0.5</v>
      </c>
      <c r="B177" s="6" t="n">
        <v>672094.8280338536</v>
      </c>
      <c r="C177" s="6" t="n">
        <v>672094.8322400914</v>
      </c>
      <c r="D177" s="6" t="n">
        <v>672094.8294137615</v>
      </c>
      <c r="E177" s="6" t="n">
        <v>672094.8280354417</v>
      </c>
      <c r="F177" s="6" t="n">
        <v>672916.5413896602</v>
      </c>
      <c r="G177" s="6" t="n">
        <v>674068.3692366892</v>
      </c>
    </row>
    <row r="178">
      <c r="A178" s="7" t="n">
        <v>1</v>
      </c>
      <c r="B178" s="7" t="n">
        <v>670452.2776557324</v>
      </c>
      <c r="C178" s="7" t="n">
        <v>670452.2870670941</v>
      </c>
      <c r="D178" s="7" t="n">
        <v>670452.280788884</v>
      </c>
      <c r="E178" s="7" t="n">
        <v>670452.2776563147</v>
      </c>
      <c r="F178" s="7" t="n">
        <v>672094.0863867436</v>
      </c>
      <c r="G178" s="7" t="n">
        <v>674068.3692366892</v>
      </c>
    </row>
    <row r="179">
      <c r="A179" s="6" t="n">
        <v>2</v>
      </c>
      <c r="B179" s="6" t="n">
        <v>668810.0004752796</v>
      </c>
      <c r="C179" s="6" t="n">
        <v>668810.1483939345</v>
      </c>
      <c r="D179" s="6" t="n">
        <v>668810.0497821799</v>
      </c>
      <c r="E179" s="6" t="n">
        <v>668810.0004753815</v>
      </c>
      <c r="F179" s="6" t="n">
        <v>672090.3001107695</v>
      </c>
      <c r="G179" s="6" t="n">
        <v>674068.3692366892</v>
      </c>
    </row>
    <row r="180">
      <c r="A180" s="7" t="n">
        <v>5</v>
      </c>
      <c r="B180" s="7" t="n">
        <v>659008.8445771658</v>
      </c>
      <c r="C180" s="7" t="n">
        <v>659008.991698852</v>
      </c>
      <c r="D180" s="7" t="n">
        <v>659008.8936174789</v>
      </c>
      <c r="E180" s="7" t="n">
        <v>659008.8445771661</v>
      </c>
      <c r="F180" s="7" t="n">
        <v>667165.8297394898</v>
      </c>
      <c r="G180" s="7" t="n">
        <v>674068.3692366892</v>
      </c>
    </row>
    <row r="181">
      <c r="A181" s="6" t="n">
        <v>10</v>
      </c>
      <c r="B181" s="6" t="n">
        <v>642834.1918881485</v>
      </c>
      <c r="C181" s="6" t="n">
        <v>642834.4039135354</v>
      </c>
      <c r="D181" s="6" t="n">
        <v>642834.262596674</v>
      </c>
      <c r="E181" s="6" t="n">
        <v>642834.1918882048</v>
      </c>
      <c r="F181" s="6" t="n">
        <v>658998.420864823</v>
      </c>
      <c r="G181" s="6" t="n">
        <v>674068.3692366892</v>
      </c>
    </row>
    <row r="182">
      <c r="A182" s="7" t="n">
        <v>20</v>
      </c>
      <c r="B182" s="7" t="n">
        <v>611087.721803065</v>
      </c>
      <c r="C182" s="7" t="n">
        <v>611088.0768429028</v>
      </c>
      <c r="D182" s="7" t="n">
        <v>611087.8402589385</v>
      </c>
      <c r="E182" s="7" t="n">
        <v>611087.7218031196</v>
      </c>
      <c r="F182" s="7" t="n">
        <v>642814.3963220962</v>
      </c>
      <c r="G182" s="7" t="n">
        <v>674068.3692366892</v>
      </c>
    </row>
    <row r="183">
      <c r="A183" s="6" t="n">
        <v>50</v>
      </c>
      <c r="B183" s="6" t="n">
        <v>492161.252469465</v>
      </c>
      <c r="C183" s="6" t="n">
        <v>492161.6024923865</v>
      </c>
      <c r="D183" s="6" t="n">
        <v>492161.3691393294</v>
      </c>
      <c r="E183" s="6" t="n">
        <v>492161.252469465</v>
      </c>
      <c r="F183" s="6" t="n">
        <v>564967.4350745231</v>
      </c>
      <c r="G183" s="6" t="n">
        <v>674068.3692366892</v>
      </c>
    </row>
    <row r="186" ht="20" customHeight="1">
      <c r="A186" s="4" t="inlineStr">
        <is>
          <t>A3D/A2D Ratio vs GSD - kaynak veri</t>
        </is>
      </c>
    </row>
    <row r="187" ht="22" customHeight="1">
      <c r="A187" s="5" t="inlineStr">
        <is>
          <t>gsd_m</t>
        </is>
      </c>
      <c r="B187" s="5" t="inlineStr">
        <is>
          <t>gradient_multiplier</t>
        </is>
      </c>
      <c r="C187" s="5" t="inlineStr">
        <is>
          <t>jenness_window_8tri</t>
        </is>
      </c>
      <c r="D187" s="5" t="inlineStr">
        <is>
          <t>sector_adaptive_jenness_integral</t>
        </is>
      </c>
      <c r="E187" s="5" t="inlineStr">
        <is>
          <t>tin_2tri_cell</t>
        </is>
      </c>
      <c r="F187" s="5" t="inlineStr">
        <is>
          <t>Native-grid reference (per GSD)</t>
        </is>
      </c>
      <c r="G187" s="5" t="inlineStr">
        <is>
          <t>Continuous ground truth (GSD-independent)</t>
        </is>
      </c>
    </row>
    <row r="188">
      <c r="A188" s="6" t="n">
        <v>0.05</v>
      </c>
      <c r="B188" s="6" t="n">
        <v>1.004440143584735</v>
      </c>
      <c r="C188" s="6" t="n">
        <v>1.004440150108621</v>
      </c>
      <c r="D188" s="6" t="n">
        <v>1.004440143525893</v>
      </c>
      <c r="E188" s="6" t="n">
        <v>1.004440144058267</v>
      </c>
      <c r="F188" s="6" t="n">
        <v>1.004440150069647</v>
      </c>
      <c r="G188" s="6" t="n">
        <v>1.004440142566992</v>
      </c>
    </row>
    <row r="189">
      <c r="A189" s="7" t="n">
        <v>0.1</v>
      </c>
      <c r="B189" s="7" t="n">
        <v>1.004440029898215</v>
      </c>
      <c r="C189" s="7" t="n">
        <v>1.00444003555837</v>
      </c>
      <c r="D189" s="7" t="n">
        <v>1.004440030884743</v>
      </c>
      <c r="E189" s="7" t="n">
        <v>1.004440030012899</v>
      </c>
      <c r="F189" s="7" t="n">
        <v>1.004439925919476</v>
      </c>
      <c r="G189" s="7" t="n">
        <v>1.004440142566992</v>
      </c>
    </row>
    <row r="190">
      <c r="A190" s="6" t="n">
        <v>0.5</v>
      </c>
      <c r="B190" s="6" t="n">
        <v>1.004439876665392</v>
      </c>
      <c r="C190" s="6" t="n">
        <v>1.004439882951577</v>
      </c>
      <c r="D190" s="6" t="n">
        <v>1.004439878727652</v>
      </c>
      <c r="E190" s="6" t="n">
        <v>1.004439876667765</v>
      </c>
      <c r="F190" s="6" t="n">
        <v>1.004439623549135</v>
      </c>
      <c r="G190" s="6" t="n">
        <v>1.004440142566992</v>
      </c>
    </row>
    <row r="191">
      <c r="A191" s="7" t="n">
        <v>1</v>
      </c>
      <c r="B191" s="7" t="n">
        <v>1.004439440433823</v>
      </c>
      <c r="C191" s="7" t="n">
        <v>1.004439454533474</v>
      </c>
      <c r="D191" s="7" t="n">
        <v>1.004439445127761</v>
      </c>
      <c r="E191" s="7" t="n">
        <v>1.004439440434696</v>
      </c>
      <c r="F191" s="7" t="n">
        <v>1.004438768280234</v>
      </c>
      <c r="G191" s="7" t="n">
        <v>1.004440142566992</v>
      </c>
    </row>
    <row r="192">
      <c r="A192" s="6" t="n">
        <v>2</v>
      </c>
      <c r="B192" s="6" t="n">
        <v>1.004436395369689</v>
      </c>
      <c r="C192" s="6" t="n">
        <v>1.004436617517803</v>
      </c>
      <c r="D192" s="6" t="n">
        <v>1.004436469420085</v>
      </c>
      <c r="E192" s="6" t="n">
        <v>1.004436395369842</v>
      </c>
      <c r="F192" s="6" t="n">
        <v>1.004433109723713</v>
      </c>
      <c r="G192" s="6" t="n">
        <v>1.004440142566992</v>
      </c>
    </row>
    <row r="193">
      <c r="A193" s="7" t="n">
        <v>5</v>
      </c>
      <c r="B193" s="7" t="n">
        <v>1.004433538450184</v>
      </c>
      <c r="C193" s="7" t="n">
        <v>1.004433762686865</v>
      </c>
      <c r="D193" s="7" t="n">
        <v>1.004433613195365</v>
      </c>
      <c r="E193" s="7" t="n">
        <v>1.004433538450185</v>
      </c>
      <c r="F193" s="7" t="n">
        <v>1.004427460182152</v>
      </c>
      <c r="G193" s="7" t="n">
        <v>1.004440142566992</v>
      </c>
    </row>
    <row r="194">
      <c r="A194" s="6" t="n">
        <v>10</v>
      </c>
      <c r="B194" s="6" t="n">
        <v>1.004428424825232</v>
      </c>
      <c r="C194" s="6" t="n">
        <v>1.004428756114899</v>
      </c>
      <c r="D194" s="6" t="n">
        <v>1.004428535307303</v>
      </c>
      <c r="E194" s="6" t="n">
        <v>1.00442842482532</v>
      </c>
      <c r="F194" s="6" t="n">
        <v>1.004417651066641</v>
      </c>
      <c r="G194" s="6" t="n">
        <v>1.004440142566992</v>
      </c>
    </row>
    <row r="195">
      <c r="A195" s="7" t="n">
        <v>20</v>
      </c>
      <c r="B195" s="7" t="n">
        <v>1.004417688696688</v>
      </c>
      <c r="C195" s="7" t="n">
        <v>1.004418272259866</v>
      </c>
      <c r="D195" s="7" t="n">
        <v>1.004417883397335</v>
      </c>
      <c r="E195" s="7" t="n">
        <v>1.004417688696778</v>
      </c>
      <c r="F195" s="7" t="n">
        <v>1.004397494253275</v>
      </c>
      <c r="G195" s="7" t="n">
        <v>1.004440142566992</v>
      </c>
    </row>
    <row r="196">
      <c r="A196" s="6" t="n">
        <v>50</v>
      </c>
      <c r="B196" s="6" t="n">
        <v>1.004410719325439</v>
      </c>
      <c r="C196" s="6" t="n">
        <v>1.004411433657932</v>
      </c>
      <c r="D196" s="6" t="n">
        <v>1.004410957427203</v>
      </c>
      <c r="E196" s="6" t="n">
        <v>1.004410719325439</v>
      </c>
      <c r="F196" s="6" t="n">
        <v>1.004386551243597</v>
      </c>
      <c r="G196" s="6" t="n">
        <v>1.004440142566992</v>
      </c>
    </row>
    <row r="199" ht="20" customHeight="1">
      <c r="A199" s="4" t="inlineStr">
        <is>
          <t>Surface Excess vs GSD - kaynak veri</t>
        </is>
      </c>
    </row>
    <row r="200" ht="22" customHeight="1">
      <c r="A200" s="5" t="inlineStr">
        <is>
          <t>gsd_m</t>
        </is>
      </c>
      <c r="B200" s="5" t="inlineStr">
        <is>
          <t>gradient_multiplier</t>
        </is>
      </c>
      <c r="C200" s="5" t="inlineStr">
        <is>
          <t>jenness_window_8tri</t>
        </is>
      </c>
      <c r="D200" s="5" t="inlineStr">
        <is>
          <t>sector_adaptive_jenness_integral</t>
        </is>
      </c>
      <c r="E200" s="5" t="inlineStr">
        <is>
          <t>tin_2tri_cell</t>
        </is>
      </c>
      <c r="F200" s="5" t="inlineStr">
        <is>
          <t>Native-grid reference (per GSD)</t>
        </is>
      </c>
      <c r="G200" s="5" t="inlineStr">
        <is>
          <t>Continuous ground truth (GSD-independent)</t>
        </is>
      </c>
    </row>
    <row r="201">
      <c r="A201" s="6" t="n">
        <v>0.05</v>
      </c>
      <c r="B201" s="6" t="n">
        <v>0.4440143584734768</v>
      </c>
      <c r="C201" s="6" t="n">
        <v>0.444015010862131</v>
      </c>
      <c r="D201" s="6" t="n">
        <v>0.4440143525892504</v>
      </c>
      <c r="E201" s="6" t="n">
        <v>0.4440144058267093</v>
      </c>
      <c r="F201" s="6" t="n">
        <v>0.4440150069646931</v>
      </c>
      <c r="G201" s="6" t="n">
        <v>0.4440142566992433</v>
      </c>
    </row>
    <row r="202">
      <c r="A202" s="7" t="n">
        <v>0.1</v>
      </c>
      <c r="B202" s="7" t="n">
        <v>0.4440029898215236</v>
      </c>
      <c r="C202" s="7" t="n">
        <v>0.4440035558369582</v>
      </c>
      <c r="D202" s="7" t="n">
        <v>0.4440030884742763</v>
      </c>
      <c r="E202" s="7" t="n">
        <v>0.4440030012899276</v>
      </c>
      <c r="F202" s="7" t="n">
        <v>0.4439925919475618</v>
      </c>
      <c r="G202" s="7" t="n">
        <v>0.4440142566992433</v>
      </c>
    </row>
    <row r="203">
      <c r="A203" s="6" t="n">
        <v>0.5</v>
      </c>
      <c r="B203" s="6" t="n">
        <v>0.4439876665391695</v>
      </c>
      <c r="C203" s="6" t="n">
        <v>0.443988295157749</v>
      </c>
      <c r="D203" s="6" t="n">
        <v>0.4439878727652058</v>
      </c>
      <c r="E203" s="6" t="n">
        <v>0.443987666776513</v>
      </c>
      <c r="F203" s="6" t="n">
        <v>0.443962354913463</v>
      </c>
      <c r="G203" s="6" t="n">
        <v>0.4440142566992433</v>
      </c>
    </row>
    <row r="204">
      <c r="A204" s="7" t="n">
        <v>1</v>
      </c>
      <c r="B204" s="7" t="n">
        <v>0.4439440433823494</v>
      </c>
      <c r="C204" s="7" t="n">
        <v>0.4439454533474052</v>
      </c>
      <c r="D204" s="7" t="n">
        <v>0.4439445127760955</v>
      </c>
      <c r="E204" s="7" t="n">
        <v>0.4439440434695685</v>
      </c>
      <c r="F204" s="7" t="n">
        <v>0.4438768280234484</v>
      </c>
      <c r="G204" s="7" t="n">
        <v>0.4440142566992433</v>
      </c>
    </row>
    <row r="205">
      <c r="A205" s="6" t="n">
        <v>2</v>
      </c>
      <c r="B205" s="6" t="n">
        <v>0.4436395369689095</v>
      </c>
      <c r="C205" s="6" t="n">
        <v>0.4436617517803443</v>
      </c>
      <c r="D205" s="6" t="n">
        <v>0.4436469420084688</v>
      </c>
      <c r="E205" s="6" t="n">
        <v>0.4436395369842083</v>
      </c>
      <c r="F205" s="6" t="n">
        <v>0.4433109723712692</v>
      </c>
      <c r="G205" s="6" t="n">
        <v>0.4440142566992433</v>
      </c>
    </row>
    <row r="206">
      <c r="A206" s="7" t="n">
        <v>5</v>
      </c>
      <c r="B206" s="7" t="n">
        <v>0.4433538450184127</v>
      </c>
      <c r="C206" s="7" t="n">
        <v>0.4433762686864906</v>
      </c>
      <c r="D206" s="7" t="n">
        <v>0.4433613195364838</v>
      </c>
      <c r="E206" s="7" t="n">
        <v>0.4433538450184571</v>
      </c>
      <c r="F206" s="7" t="n">
        <v>0.4427460182151899</v>
      </c>
      <c r="G206" s="7" t="n">
        <v>0.4440142566992433</v>
      </c>
    </row>
    <row r="207">
      <c r="A207" s="6" t="n">
        <v>10</v>
      </c>
      <c r="B207" s="6" t="n">
        <v>0.4428424825232202</v>
      </c>
      <c r="C207" s="6" t="n">
        <v>0.4428756114899013</v>
      </c>
      <c r="D207" s="6" t="n">
        <v>0.442853530730325</v>
      </c>
      <c r="E207" s="6" t="n">
        <v>0.442842482531991</v>
      </c>
      <c r="F207" s="6" t="n">
        <v>0.4417651066640715</v>
      </c>
      <c r="G207" s="6" t="n">
        <v>0.4440142566992433</v>
      </c>
    </row>
    <row r="208">
      <c r="A208" s="7" t="n">
        <v>20</v>
      </c>
      <c r="B208" s="7" t="n">
        <v>0.4417688696688016</v>
      </c>
      <c r="C208" s="7" t="n">
        <v>0.4418272259866463</v>
      </c>
      <c r="D208" s="7" t="n">
        <v>0.4417883397334732</v>
      </c>
      <c r="E208" s="7" t="n">
        <v>0.4417688696777944</v>
      </c>
      <c r="F208" s="7" t="n">
        <v>0.4397494253275402</v>
      </c>
      <c r="G208" s="7" t="n">
        <v>0.4440142566992433</v>
      </c>
    </row>
    <row r="209">
      <c r="A209" s="6" t="n">
        <v>50</v>
      </c>
      <c r="B209" s="6" t="n">
        <v>0.4410719325438794</v>
      </c>
      <c r="C209" s="6" t="n">
        <v>0.4411433657931507</v>
      </c>
      <c r="D209" s="6" t="n">
        <v>0.4410957427202877</v>
      </c>
      <c r="E209" s="6" t="n">
        <v>0.4410719325438794</v>
      </c>
      <c r="F209" s="6" t="n">
        <v>0.4386551243596548</v>
      </c>
      <c r="G209" s="6" t="n">
        <v>0.4440142566992433</v>
      </c>
    </row>
    <row r="212" ht="20" customHeight="1">
      <c r="A212" s="4" t="inlineStr">
        <is>
          <t>Relative Error vs GSD (Continuous Ground Truth) - kaynak veri</t>
        </is>
      </c>
    </row>
    <row r="213" ht="22" customHeight="1">
      <c r="A213" s="5" t="inlineStr">
        <is>
          <t>gsd_m</t>
        </is>
      </c>
      <c r="B213" s="5" t="inlineStr">
        <is>
          <t>gradient_multiplier</t>
        </is>
      </c>
      <c r="C213" s="5" t="inlineStr">
        <is>
          <t>jenness_window_8tri</t>
        </is>
      </c>
      <c r="D213" s="5" t="inlineStr">
        <is>
          <t>sector_adaptive_jenness_integral</t>
        </is>
      </c>
      <c r="E213" s="5" t="inlineStr">
        <is>
          <t>tin_2tri_cell</t>
        </is>
      </c>
    </row>
    <row r="214">
      <c r="A214" s="6" t="n">
        <v>0.05</v>
      </c>
      <c r="B214" s="6" t="n">
        <v>-0.0002441247108428898</v>
      </c>
      <c r="C214" s="6" t="n">
        <v>-0.0002441182173809703</v>
      </c>
      <c r="D214" s="6" t="n">
        <v>-0.0002441247694107825</v>
      </c>
      <c r="E214" s="6" t="n">
        <v>-0.0002441242395188439</v>
      </c>
    </row>
    <row r="215">
      <c r="A215" s="7" t="n">
        <v>0.1</v>
      </c>
      <c r="B215" s="7" t="n">
        <v>-0.0004883337613144488</v>
      </c>
      <c r="C215" s="7" t="n">
        <v>-0.0004883281289319813</v>
      </c>
      <c r="D215" s="7" t="n">
        <v>-0.0004883327796273126</v>
      </c>
      <c r="E215" s="7" t="n">
        <v>-0.0004883336471930654</v>
      </c>
    </row>
    <row r="216">
      <c r="A216" s="6" t="n">
        <v>0.5</v>
      </c>
      <c r="B216" s="6" t="n">
        <v>-0.002927805683970081</v>
      </c>
      <c r="C216" s="6" t="n">
        <v>-0.002927799443894088</v>
      </c>
      <c r="D216" s="6" t="n">
        <v>-0.002927803636836572</v>
      </c>
      <c r="E216" s="6" t="n">
        <v>-0.002927805681614033</v>
      </c>
    </row>
    <row r="217">
      <c r="A217" s="7" t="n">
        <v>1</v>
      </c>
      <c r="B217" s="7" t="n">
        <v>-0.005364576867850459</v>
      </c>
      <c r="C217" s="7" t="n">
        <v>-0.005364562905821982</v>
      </c>
      <c r="D217" s="7" t="n">
        <v>-0.005364572219728959</v>
      </c>
      <c r="E217" s="7" t="n">
        <v>-0.005364576866986587</v>
      </c>
    </row>
    <row r="218">
      <c r="A218" s="6" t="n">
        <v>2</v>
      </c>
      <c r="B218" s="6" t="n">
        <v>-0.007800942755056262</v>
      </c>
      <c r="C218" s="6" t="n">
        <v>-0.007800723313436407</v>
      </c>
      <c r="D218" s="6" t="n">
        <v>-0.007800869606837934</v>
      </c>
      <c r="E218" s="6" t="n">
        <v>-0.007800942754905144</v>
      </c>
    </row>
    <row r="219">
      <c r="A219" s="7" t="n">
        <v>5</v>
      </c>
      <c r="B219" s="7" t="n">
        <v>-0.02234124214517988</v>
      </c>
      <c r="C219" s="7" t="n">
        <v>-0.02234102388588606</v>
      </c>
      <c r="D219" s="7" t="n">
        <v>-0.0223411693924513</v>
      </c>
      <c r="E219" s="7" t="n">
        <v>-0.02234124214517936</v>
      </c>
    </row>
    <row r="220">
      <c r="A220" s="6" t="n">
        <v>10</v>
      </c>
      <c r="B220" s="6" t="n">
        <v>-0.04633680910426047</v>
      </c>
      <c r="C220" s="6" t="n">
        <v>-0.04633649455844207</v>
      </c>
      <c r="D220" s="6" t="n">
        <v>-0.04633670420610962</v>
      </c>
      <c r="E220" s="6" t="n">
        <v>-0.04633680910417706</v>
      </c>
    </row>
    <row r="221">
      <c r="A221" s="7" t="n">
        <v>20</v>
      </c>
      <c r="B221" s="7" t="n">
        <v>-0.09343361935962524</v>
      </c>
      <c r="C221" s="7" t="n">
        <v>-0.09343309264771593</v>
      </c>
      <c r="D221" s="7" t="n">
        <v>-0.09343344362689714</v>
      </c>
      <c r="E221" s="7" t="n">
        <v>-0.09343361935954424</v>
      </c>
    </row>
    <row r="222">
      <c r="A222" s="6" t="n">
        <v>50</v>
      </c>
      <c r="B222" s="6" t="n">
        <v>-0.2698644901157648</v>
      </c>
      <c r="C222" s="6" t="n">
        <v>-0.2698639708465965</v>
      </c>
      <c r="D222" s="6" t="n">
        <v>-0.269864317032633</v>
      </c>
      <c r="E222" s="6" t="n">
        <v>-0.2698644901157647</v>
      </c>
    </row>
    <row r="225" ht="20" customHeight="1">
      <c r="A225" s="4" t="inlineStr">
        <is>
          <t>Relative Error vs GSD (Native-grid Reference) - kaynak veri</t>
        </is>
      </c>
    </row>
    <row r="226" ht="22" customHeight="1">
      <c r="A226" s="5" t="inlineStr">
        <is>
          <t>gsd_m</t>
        </is>
      </c>
      <c r="B226" s="5" t="inlineStr">
        <is>
          <t>gradient_multiplier</t>
        </is>
      </c>
      <c r="C226" s="5" t="inlineStr">
        <is>
          <t>jenness_window_8tri</t>
        </is>
      </c>
      <c r="D226" s="5" t="inlineStr">
        <is>
          <t>sector_adaptive_jenness_integral</t>
        </is>
      </c>
      <c r="E226" s="5" t="inlineStr">
        <is>
          <t>tin_2tri_cell</t>
        </is>
      </c>
    </row>
    <row r="227">
      <c r="A227" s="6" t="n">
        <v>0.05</v>
      </c>
      <c r="B227" s="6" t="n">
        <v>-0.0001220804932478473</v>
      </c>
      <c r="C227" s="6" t="n">
        <v>-0.0001220739989932448</v>
      </c>
      <c r="D227" s="6" t="n">
        <v>-0.0001220805518228896</v>
      </c>
      <c r="E227" s="6" t="n">
        <v>-0.0001220800218662649</v>
      </c>
    </row>
    <row r="228">
      <c r="A228" s="7" t="n">
        <v>0.1</v>
      </c>
      <c r="B228" s="7" t="n">
        <v>-0.0002440520323136998</v>
      </c>
      <c r="C228" s="7" t="n">
        <v>-0.0002440463985546719</v>
      </c>
      <c r="D228" s="7" t="n">
        <v>-0.0002440510503866382</v>
      </c>
      <c r="E228" s="7" t="n">
        <v>-0.000244051918164425</v>
      </c>
    </row>
    <row r="229">
      <c r="A229" s="6" t="n">
        <v>0.5</v>
      </c>
      <c r="B229" s="6" t="n">
        <v>-0.001221122242157566</v>
      </c>
      <c r="C229" s="6" t="n">
        <v>-0.001221115991400465</v>
      </c>
      <c r="D229" s="6" t="n">
        <v>-0.001221120191519988</v>
      </c>
      <c r="E229" s="6" t="n">
        <v>-0.001221122239797484</v>
      </c>
    </row>
    <row r="230">
      <c r="A230" s="7" t="n">
        <v>1</v>
      </c>
      <c r="B230" s="7" t="n">
        <v>-0.002442825735661189</v>
      </c>
      <c r="C230" s="7" t="n">
        <v>-0.002442811732619118</v>
      </c>
      <c r="D230" s="7" t="n">
        <v>-0.002442821073885786</v>
      </c>
      <c r="E230" s="7" t="n">
        <v>-0.002442825734794778</v>
      </c>
    </row>
    <row r="231">
      <c r="A231" s="6" t="n">
        <v>2</v>
      </c>
      <c r="B231" s="6" t="n">
        <v>-0.004880742416531206</v>
      </c>
      <c r="C231" s="6" t="n">
        <v>-0.004880522329059606</v>
      </c>
      <c r="D231" s="6" t="n">
        <v>-0.004880669053025986</v>
      </c>
      <c r="E231" s="6" t="n">
        <v>-0.004880742416379644</v>
      </c>
    </row>
    <row r="232">
      <c r="A232" s="7" t="n">
        <v>5</v>
      </c>
      <c r="B232" s="7" t="n">
        <v>-0.01222632334978714</v>
      </c>
      <c r="C232" s="7" t="n">
        <v>-0.01222610283236899</v>
      </c>
      <c r="D232" s="7" t="n">
        <v>-0.01222624984435427</v>
      </c>
      <c r="E232" s="7" t="n">
        <v>-0.01222632334978662</v>
      </c>
    </row>
    <row r="233">
      <c r="A233" s="6" t="n">
        <v>10</v>
      </c>
      <c r="B233" s="6" t="n">
        <v>-0.02452847907505104</v>
      </c>
      <c r="C233" s="6" t="n">
        <v>-0.024528157336212</v>
      </c>
      <c r="D233" s="6" t="n">
        <v>-0.02452837177809366</v>
      </c>
      <c r="E233" s="6" t="n">
        <v>-0.02452847907496572</v>
      </c>
    </row>
    <row r="234">
      <c r="A234" s="7" t="n">
        <v>20</v>
      </c>
      <c r="B234" s="7" t="n">
        <v>-0.04935588670782327</v>
      </c>
      <c r="C234" s="7" t="n">
        <v>-0.04935533438690482</v>
      </c>
      <c r="D234" s="7" t="n">
        <v>-0.04935570243087781</v>
      </c>
      <c r="E234" s="7" t="n">
        <v>-0.04935588670773833</v>
      </c>
    </row>
    <row r="235">
      <c r="A235" s="6" t="n">
        <v>50</v>
      </c>
      <c r="B235" s="6" t="n">
        <v>-0.1288679277513659</v>
      </c>
      <c r="C235" s="6" t="n">
        <v>-0.1288673082060615</v>
      </c>
      <c r="D235" s="6" t="n">
        <v>-0.1288677212441282</v>
      </c>
      <c r="E235" s="6" t="n">
        <v>-0.1288679277513658</v>
      </c>
    </row>
    <row r="238" ht="20" customHeight="1">
      <c r="A238" s="4" t="inlineStr">
        <is>
          <t>Runtime vs GSD - kaynak veri</t>
        </is>
      </c>
    </row>
    <row r="239" ht="22" customHeight="1">
      <c r="A239" s="5" t="inlineStr">
        <is>
          <t>gsd_m</t>
        </is>
      </c>
      <c r="B239" s="5" t="inlineStr">
        <is>
          <t>gradient_multiplier</t>
        </is>
      </c>
      <c r="C239" s="5" t="inlineStr">
        <is>
          <t>jenness_window_8tri</t>
        </is>
      </c>
      <c r="D239" s="5" t="inlineStr">
        <is>
          <t>sector_adaptive_jenness_integral</t>
        </is>
      </c>
      <c r="E239" s="5" t="inlineStr">
        <is>
          <t>tin_2tri_cell</t>
        </is>
      </c>
    </row>
    <row r="240">
      <c r="A240" s="6" t="n">
        <v>0.05</v>
      </c>
      <c r="B240" s="6" t="n">
        <v>12.81715899932897</v>
      </c>
      <c r="C240" s="6" t="n">
        <v>87.00646970007801</v>
      </c>
      <c r="D240" s="6" t="n">
        <v>455.4166456009843</v>
      </c>
      <c r="E240" s="6" t="n">
        <v>23.09616840200033</v>
      </c>
    </row>
    <row r="241">
      <c r="A241" s="7" t="n">
        <v>0.1</v>
      </c>
      <c r="B241" s="7" t="n">
        <v>4.350217999075539</v>
      </c>
      <c r="C241" s="7" t="n">
        <v>27.95729870075593</v>
      </c>
      <c r="D241" s="7" t="n">
        <v>59.0121907001012</v>
      </c>
      <c r="E241" s="7" t="n">
        <v>5.914419601554982</v>
      </c>
    </row>
    <row r="242">
      <c r="A242" s="6" t="n">
        <v>0.5</v>
      </c>
      <c r="B242" s="6" t="n">
        <v>2.544988499721512</v>
      </c>
      <c r="C242" s="6" t="n">
        <v>3.08475970022846</v>
      </c>
      <c r="D242" s="6" t="n">
        <v>5.269675999821629</v>
      </c>
      <c r="E242" s="6" t="n">
        <v>2.591315499797929</v>
      </c>
    </row>
    <row r="243">
      <c r="A243" s="7" t="n">
        <v>1</v>
      </c>
      <c r="B243" s="7" t="n">
        <v>2.478989800030831</v>
      </c>
      <c r="C243" s="7" t="n">
        <v>2.565480399993248</v>
      </c>
      <c r="D243" s="7" t="n">
        <v>2.856597400153987</v>
      </c>
      <c r="E243" s="7" t="n">
        <v>2.492952700064052</v>
      </c>
    </row>
    <row r="244">
      <c r="A244" s="6" t="n">
        <v>2</v>
      </c>
      <c r="B244" s="6" t="n">
        <v>2.645411100005731</v>
      </c>
      <c r="C244" s="6" t="n">
        <v>2.663348599919118</v>
      </c>
      <c r="D244" s="6" t="n">
        <v>2.718301800021436</v>
      </c>
      <c r="E244" s="6" t="n">
        <v>2.649173000070732</v>
      </c>
    </row>
    <row r="245">
      <c r="A245" s="7" t="n">
        <v>5</v>
      </c>
      <c r="B245" s="7" t="n">
        <v>2.593326700036414</v>
      </c>
      <c r="C245" s="7" t="n">
        <v>2.594691000005696</v>
      </c>
      <c r="D245" s="7" t="n">
        <v>2.602910700021312</v>
      </c>
      <c r="E245" s="7" t="n">
        <v>2.593590200063772</v>
      </c>
    </row>
    <row r="246">
      <c r="A246" s="6" t="n">
        <v>10</v>
      </c>
      <c r="B246" s="6" t="n">
        <v>2.582431000017095</v>
      </c>
      <c r="C246" s="6" t="n">
        <v>2.582764000049792</v>
      </c>
      <c r="D246" s="6" t="n">
        <v>2.585839400067925</v>
      </c>
      <c r="E246" s="6" t="n">
        <v>2.582569100079127</v>
      </c>
    </row>
    <row r="247">
      <c r="A247" s="7" t="n">
        <v>20</v>
      </c>
      <c r="B247" s="7" t="n">
        <v>2.826933000003919</v>
      </c>
      <c r="C247" s="7" t="n">
        <v>2.827053800050635</v>
      </c>
      <c r="D247" s="7" t="n">
        <v>2.829513300035615</v>
      </c>
      <c r="E247" s="7" t="n">
        <v>2.827026099956129</v>
      </c>
    </row>
    <row r="248">
      <c r="A248" s="6" t="n">
        <v>50</v>
      </c>
      <c r="B248" s="6" t="n">
        <v>4.134873599978164</v>
      </c>
      <c r="C248" s="6" t="n">
        <v>4.134934200032149</v>
      </c>
      <c r="D248" s="6" t="n">
        <v>4.13639520003926</v>
      </c>
      <c r="E248" s="6" t="n">
        <v>4.134944399993401</v>
      </c>
    </row>
    <row r="251" ht="20" customHeight="1">
      <c r="A251" s="4" t="inlineStr">
        <is>
          <t>Error vs Runtime - kaynak veri</t>
        </is>
      </c>
    </row>
    <row r="252" ht="22" customHeight="1">
      <c r="A252" s="5" t="inlineStr">
        <is>
          <t>gradient_multiplier runtime (s)</t>
        </is>
      </c>
      <c r="B252" s="5" t="inlineStr">
        <is>
          <t>gradient_multiplier</t>
        </is>
      </c>
      <c r="C252" s="5" t="inlineStr">
        <is>
          <t>jenness_window_8tri runtime (s)</t>
        </is>
      </c>
      <c r="D252" s="5" t="inlineStr">
        <is>
          <t>jenness_window_8tri</t>
        </is>
      </c>
      <c r="E252" s="5" t="inlineStr">
        <is>
          <t>sector_adaptive_jenness_integral runtime (s)</t>
        </is>
      </c>
      <c r="F252" s="5" t="inlineStr">
        <is>
          <t>sector_adaptive_jenness_integral</t>
        </is>
      </c>
      <c r="G252" s="5" t="inlineStr">
        <is>
          <t>tin_2tri_cell runtime (s)</t>
        </is>
      </c>
      <c r="H252" s="5" t="inlineStr">
        <is>
          <t>tin_2tri_cell</t>
        </is>
      </c>
    </row>
    <row r="253">
      <c r="A253" s="6" t="n">
        <v>2.478989800030831</v>
      </c>
      <c r="B253" s="6" t="n">
        <v>0.005364576867850459</v>
      </c>
      <c r="C253" s="6" t="n">
        <v>2.565480399993248</v>
      </c>
      <c r="D253" s="6" t="n">
        <v>0.005364562905821982</v>
      </c>
      <c r="E253" s="6" t="n">
        <v>2.585839400067925</v>
      </c>
      <c r="F253" s="6" t="n">
        <v>0.04633670420610962</v>
      </c>
      <c r="G253" s="6" t="n">
        <v>2.492952700064052</v>
      </c>
      <c r="H253" s="6" t="n">
        <v>0.005364576866986587</v>
      </c>
    </row>
    <row r="254">
      <c r="A254" s="7" t="n">
        <v>2.544988499721512</v>
      </c>
      <c r="B254" s="7" t="n">
        <v>0.002927805683970081</v>
      </c>
      <c r="C254" s="7" t="n">
        <v>2.582764000049792</v>
      </c>
      <c r="D254" s="7" t="n">
        <v>0.04633649455844207</v>
      </c>
      <c r="E254" s="7" t="n">
        <v>2.602910700021312</v>
      </c>
      <c r="F254" s="7" t="n">
        <v>0.0223411693924513</v>
      </c>
      <c r="G254" s="7" t="n">
        <v>2.582569100079127</v>
      </c>
      <c r="H254" s="7" t="n">
        <v>0.04633680910417706</v>
      </c>
    </row>
    <row r="255">
      <c r="A255" s="6" t="n">
        <v>2.582431000017095</v>
      </c>
      <c r="B255" s="6" t="n">
        <v>0.04633680910426047</v>
      </c>
      <c r="C255" s="6" t="n">
        <v>2.594691000005696</v>
      </c>
      <c r="D255" s="6" t="n">
        <v>0.02234102388588606</v>
      </c>
      <c r="E255" s="6" t="n">
        <v>2.718301800021436</v>
      </c>
      <c r="F255" s="6" t="n">
        <v>0.007800869606837934</v>
      </c>
      <c r="G255" s="6" t="n">
        <v>2.591315499797929</v>
      </c>
      <c r="H255" s="6" t="n">
        <v>0.002927805681614033</v>
      </c>
    </row>
    <row r="256">
      <c r="A256" s="7" t="n">
        <v>2.593326700036414</v>
      </c>
      <c r="B256" s="7" t="n">
        <v>0.02234124214517988</v>
      </c>
      <c r="C256" s="7" t="n">
        <v>2.663348599919118</v>
      </c>
      <c r="D256" s="7" t="n">
        <v>0.007800723313436407</v>
      </c>
      <c r="E256" s="7" t="n">
        <v>2.829513300035615</v>
      </c>
      <c r="F256" s="7" t="n">
        <v>0.09343344362689714</v>
      </c>
      <c r="G256" s="7" t="n">
        <v>2.593590200063772</v>
      </c>
      <c r="H256" s="7" t="n">
        <v>0.02234124214517936</v>
      </c>
    </row>
    <row r="257">
      <c r="A257" s="6" t="n">
        <v>2.645411100005731</v>
      </c>
      <c r="B257" s="6" t="n">
        <v>0.007800942755056262</v>
      </c>
      <c r="C257" s="6" t="n">
        <v>2.827053800050635</v>
      </c>
      <c r="D257" s="6" t="n">
        <v>0.09343309264771593</v>
      </c>
      <c r="E257" s="6" t="n">
        <v>2.856597400153987</v>
      </c>
      <c r="F257" s="6" t="n">
        <v>0.005364572219728959</v>
      </c>
      <c r="G257" s="6" t="n">
        <v>2.649173000070732</v>
      </c>
      <c r="H257" s="6" t="n">
        <v>0.007800942754905144</v>
      </c>
    </row>
    <row r="258">
      <c r="A258" s="7" t="n">
        <v>2.826933000003919</v>
      </c>
      <c r="B258" s="7" t="n">
        <v>0.09343361935962524</v>
      </c>
      <c r="C258" s="7" t="n">
        <v>3.08475970022846</v>
      </c>
      <c r="D258" s="7" t="n">
        <v>0.002927799443894088</v>
      </c>
      <c r="E258" s="7" t="n">
        <v>4.13639520003926</v>
      </c>
      <c r="F258" s="7" t="n">
        <v>0.269864317032633</v>
      </c>
      <c r="G258" s="7" t="n">
        <v>2.827026099956129</v>
      </c>
      <c r="H258" s="7" t="n">
        <v>0.09343361935954424</v>
      </c>
    </row>
    <row r="259">
      <c r="A259" s="6" t="n">
        <v>4.134873599978164</v>
      </c>
      <c r="B259" s="6" t="n">
        <v>0.2698644901157648</v>
      </c>
      <c r="C259" s="6" t="n">
        <v>4.134934200032149</v>
      </c>
      <c r="D259" s="6" t="n">
        <v>0.2698639708465965</v>
      </c>
      <c r="E259" s="6" t="n">
        <v>5.269675999821629</v>
      </c>
      <c r="F259" s="6" t="n">
        <v>0.002927803636836572</v>
      </c>
      <c r="G259" s="6" t="n">
        <v>4.134944399993401</v>
      </c>
      <c r="H259" s="6" t="n">
        <v>0.2698644901157647</v>
      </c>
    </row>
    <row r="260">
      <c r="A260" s="7" t="n">
        <v>4.350217999075539</v>
      </c>
      <c r="B260" s="7" t="n">
        <v>0.0004883337613144488</v>
      </c>
      <c r="C260" s="7" t="n">
        <v>27.95729870075593</v>
      </c>
      <c r="D260" s="7" t="n">
        <v>0.0004883281289319813</v>
      </c>
      <c r="E260" s="7" t="n">
        <v>59.0121907001012</v>
      </c>
      <c r="F260" s="7" t="n">
        <v>0.0004883327796273126</v>
      </c>
      <c r="G260" s="7" t="n">
        <v>5.914419601554982</v>
      </c>
      <c r="H260" s="7" t="n">
        <v>0.0004883336471930654</v>
      </c>
    </row>
    <row r="261">
      <c r="A261" s="6" t="n">
        <v>12.81715899932897</v>
      </c>
      <c r="B261" s="6" t="n">
        <v>0.0002441247108428898</v>
      </c>
      <c r="C261" s="6" t="n">
        <v>87.00646970007801</v>
      </c>
      <c r="D261" s="6" t="n">
        <v>0.0002441182173809703</v>
      </c>
      <c r="E261" s="6" t="n">
        <v>455.4166456009843</v>
      </c>
      <c r="F261" s="6" t="n">
        <v>0.0002441247694107825</v>
      </c>
      <c r="G261" s="6" t="n">
        <v>23.09616840200033</v>
      </c>
      <c r="H261" s="6" t="n">
        <v>0.0002441242395188439</v>
      </c>
    </row>
  </sheetData>
  <mergeCells count="4">
    <mergeCell ref="A3:R3"/>
    <mergeCell ref="A2:R2"/>
    <mergeCell ref="A1:R1"/>
    <mergeCell ref="A4:R4"/>
  </mergeCells>
  <pageMargins left="0.75" right="0.75" top="1" bottom="1" header="0.5" footer="0.5"/>
  <drawing xmlns:r="http://schemas.openxmlformats.org/officeDocument/2006/relationships" r:id="rId1"/>
  <tableParts count="7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2026-03-17T13:53:23Z</dcterms:created>
  <dcterms:modified xsi:type="dcterms:W3CDTF">2026-03-17T13:53:23Z</dcterms:modified>
</cp:coreProperties>
</file>