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'grafikler'!$B$152:$B$160</f>
            </numRef>
          </yVal>
        </ser>
        <ser>
          <idx val="1"/>
          <order val="1"/>
          <tx>
            <strRef>
              <f>'grafikler'!C151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'grafikler'!$C$152:$C$160</f>
            </numRef>
          </yVal>
        </ser>
        <ser>
          <idx val="2"/>
          <order val="2"/>
          <tx>
            <strRef>
              <f>'grafikler'!D151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'grafikler'!$D$152:$D$160</f>
            </numRef>
          </yVal>
        </ser>
        <ser>
          <idx val="3"/>
          <order val="3"/>
          <tx>
            <strRef>
              <f>'grafikler'!E151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'grafikler'!$E$152:$E$160</f>
            </numRef>
          </yVal>
        </ser>
        <ser>
          <idx val="4"/>
          <order val="4"/>
          <tx>
            <strRef>
              <f>'grafikler'!F151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'grafikler'!$F$152:$F$160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'grafikler'!B164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'grafikler'!$B$165:$B$173</f>
            </numRef>
          </yVal>
        </ser>
        <ser>
          <idx val="1"/>
          <order val="1"/>
          <tx>
            <strRef>
              <f>'grafikler'!C164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'grafikler'!$C$165:$C$173</f>
            </numRef>
          </yVal>
        </ser>
        <ser>
          <idx val="2"/>
          <order val="2"/>
          <tx>
            <strRef>
              <f>'grafikler'!D164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'grafikler'!$D$165:$D$173</f>
            </numRef>
          </yVal>
        </ser>
        <ser>
          <idx val="3"/>
          <order val="3"/>
          <tx>
            <strRef>
              <f>'grafikler'!E164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'grafikler'!$E$165:$E$173</f>
            </numRef>
          </yVal>
        </ser>
        <ser>
          <idx val="4"/>
          <order val="4"/>
          <tx>
            <strRef>
              <f>'grafikler'!F164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'grafikler'!$F$165:$F$173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'grafikler'!$B$178:$B$186</f>
            </numRef>
          </yVal>
        </ser>
        <ser>
          <idx val="1"/>
          <order val="1"/>
          <tx>
            <strRef>
              <f>'grafikler'!C177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'grafikler'!$C$178:$C$186</f>
            </numRef>
          </yVal>
        </ser>
        <ser>
          <idx val="2"/>
          <order val="2"/>
          <tx>
            <strRef>
              <f>'grafikler'!D177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'grafikler'!$D$178:$D$186</f>
            </numRef>
          </yVal>
        </ser>
        <ser>
          <idx val="3"/>
          <order val="3"/>
          <tx>
            <strRef>
              <f>'grafikler'!E177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'grafikler'!$E$178:$E$186</f>
            </numRef>
          </yVal>
        </ser>
        <ser>
          <idx val="4"/>
          <order val="4"/>
          <tx>
            <strRef>
              <f>'grafikler'!F177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'grafikler'!$F$178:$F$186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'grafikler'!$B$191</f>
            </numRef>
          </yVal>
        </ser>
        <ser>
          <idx val="1"/>
          <order val="1"/>
          <tx>
            <strRef>
              <f>'grafikler'!C190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'grafikler'!$C$191</f>
            </numRef>
          </yVal>
        </ser>
        <ser>
          <idx val="2"/>
          <order val="2"/>
          <tx>
            <strRef>
              <f>'grafikler'!D190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'grafikler'!$D$191</f>
            </numRef>
          </yVal>
        </ser>
        <ser>
          <idx val="3"/>
          <order val="3"/>
          <tx>
            <strRef>
              <f>'grafikler'!E190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'grafikler'!$E$191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'grafikler'!B195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'grafikler'!$B$196:$B$204</f>
            </numRef>
          </yVal>
        </ser>
        <ser>
          <idx val="1"/>
          <order val="1"/>
          <tx>
            <strRef>
              <f>'grafikler'!C195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'grafikler'!$C$196:$C$204</f>
            </numRef>
          </yVal>
        </ser>
        <ser>
          <idx val="2"/>
          <order val="2"/>
          <tx>
            <strRef>
              <f>'grafikler'!D195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'grafikler'!$D$196:$D$204</f>
            </numRef>
          </yVal>
        </ser>
        <ser>
          <idx val="3"/>
          <order val="3"/>
          <tx>
            <strRef>
              <f>'grafikler'!E195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'grafikler'!$E$196:$E$204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'grafikler'!$A$209</f>
            </numRef>
          </xVal>
          <yVal>
            <numRef>
              <f>'grafikler'!$B$209</f>
            </numRef>
          </yVal>
        </ser>
        <ser>
          <idx val="1"/>
          <order val="1"/>
          <tx>
            <strRef>
              <f>'grafikler'!D208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'grafikler'!$C$209</f>
            </numRef>
          </xVal>
          <yVal>
            <numRef>
              <f>'grafikler'!$D$209</f>
            </numRef>
          </yVal>
        </ser>
        <ser>
          <idx val="2"/>
          <order val="2"/>
          <tx>
            <strRef>
              <f>'grafikler'!F208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'grafikler'!$E$209</f>
            </numRef>
          </xVal>
          <yVal>
            <numRef>
              <f>'grafikler'!$F$209</f>
            </numRef>
          </yVal>
        </ser>
        <ser>
          <idx val="3"/>
          <order val="3"/>
          <tx>
            <strRef>
              <f>'grafikler'!H208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'grafikler'!$G$209</f>
            </numRef>
          </xVal>
          <yVal>
            <numRef>
              <f>'grafikler'!$H$209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50" displayName="A3D_vs_GSD___kaynak_veri_150" ref="A151:F160" headerRowCount="1">
  <autoFilter ref="A151:F16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63" displayName="A3D_A2D_Ratio_vs_GSD___kaynak_veri_163" ref="A164:F173" headerRowCount="1">
  <autoFilter ref="A164:F173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76" displayName="Surface_Excess_vs_GSD___kaynak_veri_176" ref="A177:F186" headerRowCount="1">
  <autoFilter ref="A177:F186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Native_grid_Reference____kaynak_veri_189" displayName="Relative_Error_vs_GSD__Native_grid_Reference____kaynak_veri_189" ref="A190:E191" headerRowCount="1">
  <autoFilter ref="A190:E191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untime_vs_GSD___kaynak_veri_194" displayName="Runtime_vs_GSD___kaynak_veri_194" ref="A195:E204" headerRowCount="1">
  <autoFilter ref="A195:E204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rror_vs_Runtime___kaynak_veri_207" displayName="Error_vs_Runtime___kaynak_veri_207" ref="A208:H209" headerRowCount="1">
  <autoFilter ref="A208:H209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879312.6462981907</v>
      </c>
      <c r="G2" t="n">
        <v>1.310597898888537</v>
      </c>
      <c r="H2" t="n">
        <v>268369924</v>
      </c>
      <c r="I2" t="n">
        <v>6.562194900000122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879926.1228101574</v>
      </c>
      <c r="N2" t="n">
        <v>1.31135217175139</v>
      </c>
      <c r="O2" t="n">
        <v>-613.4765119666699</v>
      </c>
      <c r="P2" t="n">
        <v>-0.000697190930083373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879825.2100604369</v>
      </c>
      <c r="G3" t="n">
        <v>1.311361864916632</v>
      </c>
      <c r="H3" t="n">
        <v>268369924</v>
      </c>
      <c r="I3" t="n">
        <v>60.16708660000859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879926.1228101574</v>
      </c>
      <c r="N3" t="n">
        <v>1.31135217175139</v>
      </c>
      <c r="O3" t="n">
        <v>-100.9127497205045</v>
      </c>
      <c r="P3" t="n">
        <v>-0.0001146832070381393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879338.9676181622</v>
      </c>
      <c r="G4" t="n">
        <v>1.310637130289104</v>
      </c>
      <c r="H4" t="n">
        <v>268369924</v>
      </c>
      <c r="I4" t="n">
        <v>2333.834580499995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879926.1228101574</v>
      </c>
      <c r="N4" t="n">
        <v>1.31135217175139</v>
      </c>
      <c r="O4" t="n">
        <v>-587.1551919952035</v>
      </c>
      <c r="P4" t="n">
        <v>-0.0006672778279613381</v>
      </c>
      <c r="Q4" t="n">
        <v>1.00065224149335</v>
      </c>
      <c r="R4" t="n">
        <v>5</v>
      </c>
      <c r="S4" t="n">
        <v>0.9999995044154053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879633.3982952096</v>
      </c>
      <c r="G5" t="n">
        <v>1.311075973319886</v>
      </c>
      <c r="H5" t="n">
        <v>268369924</v>
      </c>
      <c r="I5" t="n">
        <v>16.07644019997497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879926.1228101574</v>
      </c>
      <c r="N5" t="n">
        <v>1.31135217175139</v>
      </c>
      <c r="O5" t="n">
        <v>-292.7245149477385</v>
      </c>
      <c r="P5" t="n">
        <v>-0.0003326694223065967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879926.1228101574</v>
      </c>
      <c r="G6" t="n">
        <v>1.31135217175139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879926.1228101574</v>
      </c>
      <c r="N6" t="n">
        <v>1.31135217175139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877990.3187478823</v>
      </c>
      <c r="G7" t="n">
        <v>1.308946582684268</v>
      </c>
      <c r="H7" t="n">
        <v>67076100</v>
      </c>
      <c r="I7" t="n">
        <v>1.640585400005421</v>
      </c>
      <c r="J7" t="n">
        <v>5.998441100000036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879635.5797614603</v>
      </c>
      <c r="G8" t="n">
        <v>1.311399410164664</v>
      </c>
      <c r="H8" t="n">
        <v>67076100</v>
      </c>
      <c r="I8" t="n">
        <v>13.49853700000176</v>
      </c>
      <c r="J8" t="n">
        <v>5.998441100000036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878095.378891862</v>
      </c>
      <c r="G9" t="n">
        <v>1.309103210967635</v>
      </c>
      <c r="H9" t="n">
        <v>67076100</v>
      </c>
      <c r="I9" t="n">
        <v>572.4391162000015</v>
      </c>
      <c r="J9" t="n">
        <v>5.998441100000036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1.003679045144247</v>
      </c>
      <c r="R9" t="n">
        <v>5</v>
      </c>
      <c r="S9" t="n">
        <v>0.9999999254578009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878946.1550795034</v>
      </c>
      <c r="G10" t="n">
        <v>1.310371585526743</v>
      </c>
      <c r="H10" t="n">
        <v>67076100</v>
      </c>
      <c r="I10" t="n">
        <v>3.793577999998888</v>
      </c>
      <c r="J10" t="n">
        <v>5.998441100000036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858442.4384829547</v>
      </c>
      <c r="G11" t="n">
        <v>1.282934760198341</v>
      </c>
      <c r="H11" t="n">
        <v>2676496</v>
      </c>
      <c r="I11" t="n">
        <v>0.06790910000154327</v>
      </c>
      <c r="J11" t="n">
        <v>3.395413299999746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871936.647217937</v>
      </c>
      <c r="G12" t="n">
        <v>1.303101737821296</v>
      </c>
      <c r="H12" t="n">
        <v>2676496</v>
      </c>
      <c r="I12" t="n">
        <v>0.4931110000011358</v>
      </c>
      <c r="J12" t="n">
        <v>3.395413299999746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859981.8132861385</v>
      </c>
      <c r="G13" t="n">
        <v>1.285235342456912</v>
      </c>
      <c r="H13" t="n">
        <v>2676496</v>
      </c>
      <c r="I13" t="n">
        <v>24.24268019999909</v>
      </c>
      <c r="J13" t="n">
        <v>3.395413299999746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1.023800521278567</v>
      </c>
      <c r="R13" t="n">
        <v>5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862558.9881574335</v>
      </c>
      <c r="G14" t="n">
        <v>1.289086907893654</v>
      </c>
      <c r="H14" t="n">
        <v>2676496</v>
      </c>
      <c r="I14" t="n">
        <v>0.1406611999991583</v>
      </c>
      <c r="J14" t="n">
        <v>3.395413299999746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824719.6081444207</v>
      </c>
      <c r="G15" t="n">
        <v>1.235555354686625</v>
      </c>
      <c r="H15" t="n">
        <v>667489</v>
      </c>
      <c r="I15" t="n">
        <v>0.01336370000080933</v>
      </c>
      <c r="J15" t="n">
        <v>3.514553800000158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851602.8075264723</v>
      </c>
      <c r="G16" t="n">
        <v>1.275830474399537</v>
      </c>
      <c r="H16" t="n">
        <v>667489</v>
      </c>
      <c r="I16" t="n">
        <v>0.1267180000008921</v>
      </c>
      <c r="J16" t="n">
        <v>3.514553800000158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827972.203557012</v>
      </c>
      <c r="G17" t="n">
        <v>1.240428237105049</v>
      </c>
      <c r="H17" t="n">
        <v>667489</v>
      </c>
      <c r="I17" t="n">
        <v>7.48500550000017</v>
      </c>
      <c r="J17" t="n">
        <v>3.514553800000158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1.033536133179723</v>
      </c>
      <c r="R17" t="n">
        <v>5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830744.6572624327</v>
      </c>
      <c r="G18" t="n">
        <v>1.244581794250441</v>
      </c>
      <c r="H18" t="n">
        <v>667489</v>
      </c>
      <c r="I18" t="n">
        <v>0.02819689999932962</v>
      </c>
      <c r="J18" t="n">
        <v>3.514553800000158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776119.678005068</v>
      </c>
      <c r="G19" t="n">
        <v>1.165596882817107</v>
      </c>
      <c r="H19" t="n">
        <v>166464</v>
      </c>
      <c r="I19" t="n">
        <v>0.00221329999885711</v>
      </c>
      <c r="J19" t="n">
        <v>3.39419960000032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809369.6461025514</v>
      </c>
      <c r="G20" t="n">
        <v>1.215532556742826</v>
      </c>
      <c r="H20" t="n">
        <v>166464</v>
      </c>
      <c r="I20" t="n">
        <v>0.02164649999986068</v>
      </c>
      <c r="J20" t="n">
        <v>3.39419960000032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780073.3260475839</v>
      </c>
      <c r="G21" t="n">
        <v>1.171534575114715</v>
      </c>
      <c r="H21" t="n">
        <v>166464</v>
      </c>
      <c r="I21" t="n">
        <v>1.744163099999696</v>
      </c>
      <c r="J21" t="n">
        <v>3.39419960000032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1.042489667435602</v>
      </c>
      <c r="R21" t="n">
        <v>5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781776.1478649199</v>
      </c>
      <c r="G22" t="n">
        <v>1.174091917569144</v>
      </c>
      <c r="H22" t="n">
        <v>166464</v>
      </c>
      <c r="I22" t="n">
        <v>0.004541399999197893</v>
      </c>
      <c r="J22" t="n">
        <v>3.39419960000032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725380.8677428523</v>
      </c>
      <c r="G23" t="n">
        <v>1.10559498208025</v>
      </c>
      <c r="H23" t="n">
        <v>26244</v>
      </c>
      <c r="I23" t="n">
        <v>0.0003131999997094681</v>
      </c>
      <c r="J23" t="n">
        <v>3.319321800000125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744112.8725735608</v>
      </c>
      <c r="G24" t="n">
        <v>1.134145515277489</v>
      </c>
      <c r="H24" t="n">
        <v>26244</v>
      </c>
      <c r="I24" t="n">
        <v>0.001931499999955122</v>
      </c>
      <c r="J24" t="n">
        <v>3.319321800000125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727160.5101682517</v>
      </c>
      <c r="G25" t="n">
        <v>1.108307438147008</v>
      </c>
      <c r="H25" t="n">
        <v>26244</v>
      </c>
      <c r="I25" t="n">
        <v>0.08318250000002081</v>
      </c>
      <c r="J25" t="n">
        <v>3.319321800000125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1.043705227861606</v>
      </c>
      <c r="R25" t="n">
        <v>3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728746.1924303898</v>
      </c>
      <c r="G26" t="n">
        <v>1.11072426829811</v>
      </c>
      <c r="H26" t="n">
        <v>26244</v>
      </c>
      <c r="I26" t="n">
        <v>0.0009027000000969565</v>
      </c>
      <c r="J26" t="n">
        <v>3.319321800000125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684959.3664368966</v>
      </c>
      <c r="G27" t="n">
        <v>1.070249010057651</v>
      </c>
      <c r="H27" t="n">
        <v>6400</v>
      </c>
      <c r="I27" t="n">
        <v>0.0001013999999486259</v>
      </c>
      <c r="J27" t="n">
        <v>3.389465299999756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701306.441865403</v>
      </c>
      <c r="G28" t="n">
        <v>1.095791315414692</v>
      </c>
      <c r="H28" t="n">
        <v>6400</v>
      </c>
      <c r="I28" t="n">
        <v>0.0007786000001033244</v>
      </c>
      <c r="J28" t="n">
        <v>3.389465299999756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686401.3767766077</v>
      </c>
      <c r="G29" t="n">
        <v>1.07250215121345</v>
      </c>
      <c r="H29" t="n">
        <v>6400</v>
      </c>
      <c r="I29" t="n">
        <v>0.01978210000015679</v>
      </c>
      <c r="J29" t="n">
        <v>3.389465299999756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1.0259375</v>
      </c>
      <c r="R29" t="n">
        <v>2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687714.6106318117</v>
      </c>
      <c r="G30" t="n">
        <v>1.074554079112206</v>
      </c>
      <c r="H30" t="n">
        <v>6400</v>
      </c>
      <c r="I30" t="n">
        <v>0.0003312999997433508</v>
      </c>
      <c r="J30" t="n">
        <v>3.389465299999756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633391.2840266387</v>
      </c>
      <c r="G31" t="n">
        <v>1.041077061187769</v>
      </c>
      <c r="H31" t="n">
        <v>1521</v>
      </c>
      <c r="I31" t="n">
        <v>7.310000000870787e-05</v>
      </c>
      <c r="J31" t="n">
        <v>3.580520999999862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645002.9404505683</v>
      </c>
      <c r="G32" t="n">
        <v>1.060162624014741</v>
      </c>
      <c r="H32" t="n">
        <v>1521</v>
      </c>
      <c r="I32" t="n">
        <v>0.0003728000001501641</v>
      </c>
      <c r="J32" t="n">
        <v>3.580520999999862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634367.0532915766</v>
      </c>
      <c r="G33" t="n">
        <v>1.042680889696871</v>
      </c>
      <c r="H33" t="n">
        <v>1521</v>
      </c>
      <c r="I33" t="n">
        <v>0.006134100000053877</v>
      </c>
      <c r="J33" t="n">
        <v>3.580520999999862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</v>
      </c>
      <c r="R33" t="n">
        <v>1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635049.6462556061</v>
      </c>
      <c r="G34" t="n">
        <v>1.043802837369504</v>
      </c>
      <c r="H34" t="n">
        <v>1521</v>
      </c>
      <c r="I34" t="n">
        <v>0.0002291999999215477</v>
      </c>
      <c r="J34" t="n">
        <v>3.580520999999862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497666.7223193329</v>
      </c>
      <c r="G35" t="n">
        <v>1.015646372080271</v>
      </c>
      <c r="H35" t="n">
        <v>196</v>
      </c>
      <c r="I35" t="n">
        <v>5.34999999217689e-05</v>
      </c>
      <c r="J35" t="n">
        <v>5.010989399999744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503607.9079881524</v>
      </c>
      <c r="G36" t="n">
        <v>1.027771240792148</v>
      </c>
      <c r="H36" t="n">
        <v>196</v>
      </c>
      <c r="I36" t="n">
        <v>0.0001227999996444851</v>
      </c>
      <c r="J36" t="n">
        <v>5.010989399999744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498274.0185149867</v>
      </c>
      <c r="G37" t="n">
        <v>1.016885752071401</v>
      </c>
      <c r="H37" t="n">
        <v>196</v>
      </c>
      <c r="I37" t="n">
        <v>0.002116799999839714</v>
      </c>
      <c r="J37" t="n">
        <v>5.010989399999744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498313.4921186049</v>
      </c>
      <c r="G38" t="n">
        <v>1.016966310446133</v>
      </c>
      <c r="H38" t="n">
        <v>196</v>
      </c>
      <c r="I38" t="n">
        <v>0.000156799999786017</v>
      </c>
      <c r="J38" t="n">
        <v>5.010989399999744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879312.6462981907</v>
      </c>
      <c r="C2" t="n">
        <v>879825.2100604369</v>
      </c>
      <c r="D2" t="n">
        <v>879338.9676181622</v>
      </c>
      <c r="E2" t="n">
        <v>879633.3982952096</v>
      </c>
    </row>
    <row r="3">
      <c r="A3" t="n">
        <v>0.1</v>
      </c>
      <c r="B3" t="n">
        <v>877990.3187478823</v>
      </c>
      <c r="C3" t="n">
        <v>879635.5797614603</v>
      </c>
      <c r="D3" t="n">
        <v>878095.378891862</v>
      </c>
      <c r="E3" t="n">
        <v>878946.1550795034</v>
      </c>
    </row>
    <row r="4">
      <c r="A4" t="n">
        <v>0.5</v>
      </c>
      <c r="B4" t="n">
        <v>858442.4384829547</v>
      </c>
      <c r="C4" t="n">
        <v>871936.647217937</v>
      </c>
      <c r="D4" t="n">
        <v>859981.8132861385</v>
      </c>
      <c r="E4" t="n">
        <v>862558.9881574335</v>
      </c>
    </row>
    <row r="5">
      <c r="A5" t="n">
        <v>1</v>
      </c>
      <c r="B5" t="n">
        <v>824719.6081444207</v>
      </c>
      <c r="C5" t="n">
        <v>851602.8075264723</v>
      </c>
      <c r="D5" t="n">
        <v>827972.203557012</v>
      </c>
      <c r="E5" t="n">
        <v>830744.6572624327</v>
      </c>
    </row>
    <row r="6">
      <c r="A6" t="n">
        <v>2</v>
      </c>
      <c r="B6" t="n">
        <v>776119.678005068</v>
      </c>
      <c r="C6" t="n">
        <v>809369.6461025514</v>
      </c>
      <c r="D6" t="n">
        <v>780073.3260475839</v>
      </c>
      <c r="E6" t="n">
        <v>781776.1478649199</v>
      </c>
    </row>
    <row r="7">
      <c r="A7" t="n">
        <v>5</v>
      </c>
      <c r="B7" t="n">
        <v>725380.8677428523</v>
      </c>
      <c r="C7" t="n">
        <v>744112.8725735608</v>
      </c>
      <c r="D7" t="n">
        <v>727160.5101682517</v>
      </c>
      <c r="E7" t="n">
        <v>728746.1924303898</v>
      </c>
    </row>
    <row r="8">
      <c r="A8" t="n">
        <v>10</v>
      </c>
      <c r="B8" t="n">
        <v>684959.3664368966</v>
      </c>
      <c r="C8" t="n">
        <v>701306.441865403</v>
      </c>
      <c r="D8" t="n">
        <v>686401.3767766077</v>
      </c>
      <c r="E8" t="n">
        <v>687714.6106318117</v>
      </c>
    </row>
    <row r="9">
      <c r="A9" t="n">
        <v>20</v>
      </c>
      <c r="B9" t="n">
        <v>633391.2840266387</v>
      </c>
      <c r="C9" t="n">
        <v>645002.9404505683</v>
      </c>
      <c r="D9" t="n">
        <v>634367.0532915766</v>
      </c>
      <c r="E9" t="n">
        <v>635049.6462556061</v>
      </c>
    </row>
    <row r="10">
      <c r="A10" t="n">
        <v>50</v>
      </c>
      <c r="B10" t="n">
        <v>497666.7223193329</v>
      </c>
      <c r="C10" t="n">
        <v>503607.9079881524</v>
      </c>
      <c r="D10" t="n">
        <v>498274.0185149867</v>
      </c>
      <c r="E10" t="n">
        <v>498313.4921186049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879926.1228101574</v>
      </c>
      <c r="G2" t="n">
        <v>1.31135217175139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2026-03-18T23:23:05.732475+00:00</t>
        </is>
      </c>
    </row>
    <row r="3">
      <c r="A3" t="inlineStr">
        <is>
          <t>dem</t>
        </is>
      </c>
      <c r="B3" t="inlineStr">
        <is>
          <t>C:\d_surucusu\yuzey_alani_hesaplama\out_synth\synth_valley_16384x16384_dx0.05_seed0_20260317_214748.tif</t>
        </is>
      </c>
    </row>
    <row r="4">
      <c r="A4" t="inlineStr">
        <is>
          <t>dem_info.path</t>
        </is>
      </c>
      <c r="B4" t="inlineStr">
        <is>
          <t>C:\d_surucusu\yuzey_alani_hesaplama\out_synth\synth_valley_16384x16384_dx0.05_seed0_20260317_214748.tif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C:\d_surucusu\yuzey_alani_hesaplama\out_synth\synth_valley_16384x16384_dx0.05_seed0_20260317_214748.reference.json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879926.1228101574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50" ht="20" customHeight="1">
      <c r="A150" s="4" t="inlineStr">
        <is>
          <t>A3D vs GSD - kaynak veri</t>
        </is>
      </c>
    </row>
    <row r="151" ht="22" customHeight="1">
      <c r="A151" s="5" t="inlineStr">
        <is>
          <t>gsd_m</t>
        </is>
      </c>
      <c r="B151" s="5" t="inlineStr">
        <is>
          <t>gradient_multiplier</t>
        </is>
      </c>
      <c r="C151" s="5" t="inlineStr">
        <is>
          <t>jenness_window_8tri</t>
        </is>
      </c>
      <c r="D151" s="5" t="inlineStr">
        <is>
          <t>sector_adaptive_jenness_integral</t>
        </is>
      </c>
      <c r="E151" s="5" t="inlineStr">
        <is>
          <t>tin_2tri_cell</t>
        </is>
      </c>
      <c r="F151" s="5" t="inlineStr">
        <is>
          <t>Native-grid reference (per GSD)</t>
        </is>
      </c>
    </row>
    <row r="152">
      <c r="A152" s="6" t="n">
        <v>0.05</v>
      </c>
      <c r="B152" s="6" t="n">
        <v>879312.6462981907</v>
      </c>
      <c r="C152" s="6" t="n">
        <v>879825.2100604369</v>
      </c>
      <c r="D152" s="6" t="n">
        <v>879338.9676181622</v>
      </c>
      <c r="E152" s="6" t="n">
        <v>879633.3982952096</v>
      </c>
      <c r="F152" s="6" t="n">
        <v>879926.1228101574</v>
      </c>
    </row>
    <row r="153">
      <c r="A153" s="7" t="n">
        <v>0.1</v>
      </c>
      <c r="B153" s="7" t="n">
        <v>877990.3187478823</v>
      </c>
      <c r="C153" s="7" t="n">
        <v>879635.5797614603</v>
      </c>
      <c r="D153" s="7" t="n">
        <v>878095.378891862</v>
      </c>
      <c r="E153" s="7" t="n">
        <v>878946.1550795034</v>
      </c>
      <c r="F153" s="8" t="n"/>
    </row>
    <row r="154">
      <c r="A154" s="6" t="n">
        <v>0.5</v>
      </c>
      <c r="B154" s="6" t="n">
        <v>858442.4384829547</v>
      </c>
      <c r="C154" s="6" t="n">
        <v>871936.647217937</v>
      </c>
      <c r="D154" s="6" t="n">
        <v>859981.8132861385</v>
      </c>
      <c r="E154" s="6" t="n">
        <v>862558.9881574335</v>
      </c>
      <c r="F154" s="9" t="n"/>
    </row>
    <row r="155">
      <c r="A155" s="7" t="n">
        <v>1</v>
      </c>
      <c r="B155" s="7" t="n">
        <v>824719.6081444207</v>
      </c>
      <c r="C155" s="7" t="n">
        <v>851602.8075264723</v>
      </c>
      <c r="D155" s="7" t="n">
        <v>827972.203557012</v>
      </c>
      <c r="E155" s="7" t="n">
        <v>830744.6572624327</v>
      </c>
      <c r="F155" s="8" t="n"/>
    </row>
    <row r="156">
      <c r="A156" s="6" t="n">
        <v>2</v>
      </c>
      <c r="B156" s="6" t="n">
        <v>776119.678005068</v>
      </c>
      <c r="C156" s="6" t="n">
        <v>809369.6461025514</v>
      </c>
      <c r="D156" s="6" t="n">
        <v>780073.3260475839</v>
      </c>
      <c r="E156" s="6" t="n">
        <v>781776.1478649199</v>
      </c>
      <c r="F156" s="9" t="n"/>
    </row>
    <row r="157">
      <c r="A157" s="7" t="n">
        <v>5</v>
      </c>
      <c r="B157" s="7" t="n">
        <v>725380.8677428523</v>
      </c>
      <c r="C157" s="7" t="n">
        <v>744112.8725735608</v>
      </c>
      <c r="D157" s="7" t="n">
        <v>727160.5101682517</v>
      </c>
      <c r="E157" s="7" t="n">
        <v>728746.1924303898</v>
      </c>
      <c r="F157" s="8" t="n"/>
    </row>
    <row r="158">
      <c r="A158" s="6" t="n">
        <v>10</v>
      </c>
      <c r="B158" s="6" t="n">
        <v>684959.3664368966</v>
      </c>
      <c r="C158" s="6" t="n">
        <v>701306.441865403</v>
      </c>
      <c r="D158" s="6" t="n">
        <v>686401.3767766077</v>
      </c>
      <c r="E158" s="6" t="n">
        <v>687714.6106318117</v>
      </c>
      <c r="F158" s="9" t="n"/>
    </row>
    <row r="159">
      <c r="A159" s="7" t="n">
        <v>20</v>
      </c>
      <c r="B159" s="7" t="n">
        <v>633391.2840266387</v>
      </c>
      <c r="C159" s="7" t="n">
        <v>645002.9404505683</v>
      </c>
      <c r="D159" s="7" t="n">
        <v>634367.0532915766</v>
      </c>
      <c r="E159" s="7" t="n">
        <v>635049.6462556061</v>
      </c>
      <c r="F159" s="8" t="n"/>
    </row>
    <row r="160">
      <c r="A160" s="6" t="n">
        <v>50</v>
      </c>
      <c r="B160" s="6" t="n">
        <v>497666.7223193329</v>
      </c>
      <c r="C160" s="6" t="n">
        <v>503607.9079881524</v>
      </c>
      <c r="D160" s="6" t="n">
        <v>498274.0185149867</v>
      </c>
      <c r="E160" s="6" t="n">
        <v>498313.4921186049</v>
      </c>
      <c r="F160" s="9" t="n"/>
    </row>
    <row r="163" ht="20" customHeight="1">
      <c r="A163" s="4" t="inlineStr">
        <is>
          <t>A3D/A2D Ratio vs GSD - kaynak veri</t>
        </is>
      </c>
    </row>
    <row r="164" ht="22" customHeight="1">
      <c r="A164" s="5" t="inlineStr">
        <is>
          <t>gsd_m</t>
        </is>
      </c>
      <c r="B164" s="5" t="inlineStr">
        <is>
          <t>gradient_multiplier</t>
        </is>
      </c>
      <c r="C164" s="5" t="inlineStr">
        <is>
          <t>jenness_window_8tri</t>
        </is>
      </c>
      <c r="D164" s="5" t="inlineStr">
        <is>
          <t>sector_adaptive_jenness_integral</t>
        </is>
      </c>
      <c r="E164" s="5" t="inlineStr">
        <is>
          <t>tin_2tri_cell</t>
        </is>
      </c>
      <c r="F164" s="5" t="inlineStr">
        <is>
          <t>Native-grid reference (per GSD)</t>
        </is>
      </c>
    </row>
    <row r="165">
      <c r="A165" s="6" t="n">
        <v>0.05</v>
      </c>
      <c r="B165" s="6" t="n">
        <v>1.310597898888537</v>
      </c>
      <c r="C165" s="6" t="n">
        <v>1.311361864916632</v>
      </c>
      <c r="D165" s="6" t="n">
        <v>1.310637130289104</v>
      </c>
      <c r="E165" s="6" t="n">
        <v>1.311075973319886</v>
      </c>
      <c r="F165" s="6" t="n">
        <v>1.31135217175139</v>
      </c>
    </row>
    <row r="166">
      <c r="A166" s="7" t="n">
        <v>0.1</v>
      </c>
      <c r="B166" s="7" t="n">
        <v>1.308946582684268</v>
      </c>
      <c r="C166" s="7" t="n">
        <v>1.311399410164664</v>
      </c>
      <c r="D166" s="7" t="n">
        <v>1.309103210967635</v>
      </c>
      <c r="E166" s="7" t="n">
        <v>1.310371585526743</v>
      </c>
      <c r="F166" s="8" t="n"/>
    </row>
    <row r="167">
      <c r="A167" s="6" t="n">
        <v>0.5</v>
      </c>
      <c r="B167" s="6" t="n">
        <v>1.282934760198341</v>
      </c>
      <c r="C167" s="6" t="n">
        <v>1.303101737821296</v>
      </c>
      <c r="D167" s="6" t="n">
        <v>1.285235342456912</v>
      </c>
      <c r="E167" s="6" t="n">
        <v>1.289086907893654</v>
      </c>
      <c r="F167" s="9" t="n"/>
    </row>
    <row r="168">
      <c r="A168" s="7" t="n">
        <v>1</v>
      </c>
      <c r="B168" s="7" t="n">
        <v>1.235555354686625</v>
      </c>
      <c r="C168" s="7" t="n">
        <v>1.275830474399537</v>
      </c>
      <c r="D168" s="7" t="n">
        <v>1.240428237105049</v>
      </c>
      <c r="E168" s="7" t="n">
        <v>1.244581794250441</v>
      </c>
      <c r="F168" s="8" t="n"/>
    </row>
    <row r="169">
      <c r="A169" s="6" t="n">
        <v>2</v>
      </c>
      <c r="B169" s="6" t="n">
        <v>1.165596882817107</v>
      </c>
      <c r="C169" s="6" t="n">
        <v>1.215532556742826</v>
      </c>
      <c r="D169" s="6" t="n">
        <v>1.171534575114715</v>
      </c>
      <c r="E169" s="6" t="n">
        <v>1.174091917569144</v>
      </c>
      <c r="F169" s="9" t="n"/>
    </row>
    <row r="170">
      <c r="A170" s="7" t="n">
        <v>5</v>
      </c>
      <c r="B170" s="7" t="n">
        <v>1.10559498208025</v>
      </c>
      <c r="C170" s="7" t="n">
        <v>1.134145515277489</v>
      </c>
      <c r="D170" s="7" t="n">
        <v>1.108307438147008</v>
      </c>
      <c r="E170" s="7" t="n">
        <v>1.11072426829811</v>
      </c>
      <c r="F170" s="8" t="n"/>
    </row>
    <row r="171">
      <c r="A171" s="6" t="n">
        <v>10</v>
      </c>
      <c r="B171" s="6" t="n">
        <v>1.070249010057651</v>
      </c>
      <c r="C171" s="6" t="n">
        <v>1.095791315414692</v>
      </c>
      <c r="D171" s="6" t="n">
        <v>1.07250215121345</v>
      </c>
      <c r="E171" s="6" t="n">
        <v>1.074554079112206</v>
      </c>
      <c r="F171" s="9" t="n"/>
    </row>
    <row r="172">
      <c r="A172" s="7" t="n">
        <v>20</v>
      </c>
      <c r="B172" s="7" t="n">
        <v>1.041077061187769</v>
      </c>
      <c r="C172" s="7" t="n">
        <v>1.060162624014741</v>
      </c>
      <c r="D172" s="7" t="n">
        <v>1.042680889696871</v>
      </c>
      <c r="E172" s="7" t="n">
        <v>1.043802837369504</v>
      </c>
      <c r="F172" s="8" t="n"/>
    </row>
    <row r="173">
      <c r="A173" s="6" t="n">
        <v>50</v>
      </c>
      <c r="B173" s="6" t="n">
        <v>1.015646372080271</v>
      </c>
      <c r="C173" s="6" t="n">
        <v>1.027771240792148</v>
      </c>
      <c r="D173" s="6" t="n">
        <v>1.016885752071401</v>
      </c>
      <c r="E173" s="6" t="n">
        <v>1.016966310446133</v>
      </c>
      <c r="F173" s="9" t="n"/>
    </row>
    <row r="176" ht="20" customHeight="1">
      <c r="A176" s="4" t="inlineStr">
        <is>
          <t>Surface Excess vs GSD - kaynak veri</t>
        </is>
      </c>
    </row>
    <row r="177" ht="22" customHeight="1">
      <c r="A177" s="5" t="inlineStr">
        <is>
          <t>gsd_m</t>
        </is>
      </c>
      <c r="B177" s="5" t="inlineStr">
        <is>
          <t>gradient_multiplier</t>
        </is>
      </c>
      <c r="C177" s="5" t="inlineStr">
        <is>
          <t>jenness_window_8tri</t>
        </is>
      </c>
      <c r="D177" s="5" t="inlineStr">
        <is>
          <t>sector_adaptive_jenness_integral</t>
        </is>
      </c>
      <c r="E177" s="5" t="inlineStr">
        <is>
          <t>tin_2tri_cell</t>
        </is>
      </c>
      <c r="F177" s="5" t="inlineStr">
        <is>
          <t>Native-grid reference (per GSD)</t>
        </is>
      </c>
    </row>
    <row r="178">
      <c r="A178" s="6" t="n">
        <v>0.05</v>
      </c>
      <c r="B178" s="6" t="n">
        <v>31.05978988885365</v>
      </c>
      <c r="C178" s="6" t="n">
        <v>31.13618649166316</v>
      </c>
      <c r="D178" s="6" t="n">
        <v>31.06371302891036</v>
      </c>
      <c r="E178" s="6" t="n">
        <v>31.1075973319886</v>
      </c>
      <c r="F178" s="6" t="n">
        <v>31.13521717513898</v>
      </c>
    </row>
    <row r="179">
      <c r="A179" s="7" t="n">
        <v>0.1</v>
      </c>
      <c r="B179" s="7" t="n">
        <v>30.89465826842679</v>
      </c>
      <c r="C179" s="7" t="n">
        <v>31.13994101646642</v>
      </c>
      <c r="D179" s="7" t="n">
        <v>30.91032109676352</v>
      </c>
      <c r="E179" s="7" t="n">
        <v>31.03715855267426</v>
      </c>
      <c r="F179" s="8" t="n"/>
    </row>
    <row r="180">
      <c r="A180" s="6" t="n">
        <v>0.5</v>
      </c>
      <c r="B180" s="6" t="n">
        <v>28.2934760198341</v>
      </c>
      <c r="C180" s="6" t="n">
        <v>30.31017378212963</v>
      </c>
      <c r="D180" s="6" t="n">
        <v>28.52353424569116</v>
      </c>
      <c r="E180" s="6" t="n">
        <v>28.90869078936542</v>
      </c>
      <c r="F180" s="9" t="n"/>
    </row>
    <row r="181">
      <c r="A181" s="7" t="n">
        <v>1</v>
      </c>
      <c r="B181" s="7" t="n">
        <v>23.55553546866251</v>
      </c>
      <c r="C181" s="7" t="n">
        <v>27.58304743995366</v>
      </c>
      <c r="D181" s="7" t="n">
        <v>24.0428237105049</v>
      </c>
      <c r="E181" s="7" t="n">
        <v>24.45817942504411</v>
      </c>
      <c r="F181" s="8" t="n"/>
    </row>
    <row r="182">
      <c r="A182" s="6" t="n">
        <v>2</v>
      </c>
      <c r="B182" s="6" t="n">
        <v>16.55968828171075</v>
      </c>
      <c r="C182" s="6" t="n">
        <v>21.55325567428264</v>
      </c>
      <c r="D182" s="6" t="n">
        <v>17.15345751147155</v>
      </c>
      <c r="E182" s="6" t="n">
        <v>17.40919175691438</v>
      </c>
      <c r="F182" s="9" t="n"/>
    </row>
    <row r="183">
      <c r="A183" s="7" t="n">
        <v>5</v>
      </c>
      <c r="B183" s="7" t="n">
        <v>10.55949820802504</v>
      </c>
      <c r="C183" s="7" t="n">
        <v>13.41455152774893</v>
      </c>
      <c r="D183" s="7" t="n">
        <v>10.83074381470077</v>
      </c>
      <c r="E183" s="7" t="n">
        <v>11.07242682981098</v>
      </c>
      <c r="F183" s="8" t="n"/>
    </row>
    <row r="184">
      <c r="A184" s="6" t="n">
        <v>10</v>
      </c>
      <c r="B184" s="6" t="n">
        <v>7.024901005765094</v>
      </c>
      <c r="C184" s="6" t="n">
        <v>9.579131541469209</v>
      </c>
      <c r="D184" s="6" t="n">
        <v>7.250215121344961</v>
      </c>
      <c r="E184" s="6" t="n">
        <v>7.455407911220568</v>
      </c>
      <c r="F184" s="9" t="n"/>
    </row>
    <row r="185">
      <c r="A185" s="7" t="n">
        <v>20</v>
      </c>
      <c r="B185" s="7" t="n">
        <v>4.10770611877691</v>
      </c>
      <c r="C185" s="7" t="n">
        <v>6.016262401474082</v>
      </c>
      <c r="D185" s="7" t="n">
        <v>4.268088969687134</v>
      </c>
      <c r="E185" s="7" t="n">
        <v>4.380283736950386</v>
      </c>
      <c r="F185" s="8" t="n"/>
    </row>
    <row r="186">
      <c r="A186" s="6" t="n">
        <v>50</v>
      </c>
      <c r="B186" s="6" t="n">
        <v>1.564637208027109</v>
      </c>
      <c r="C186" s="6" t="n">
        <v>2.777124079214754</v>
      </c>
      <c r="D186" s="6" t="n">
        <v>1.688575207140142</v>
      </c>
      <c r="E186" s="6" t="n">
        <v>1.696631044613262</v>
      </c>
      <c r="F186" s="9" t="n"/>
    </row>
    <row r="189" ht="20" customHeight="1">
      <c r="A189" s="4" t="inlineStr">
        <is>
          <t>Relative Error vs GSD (Native-grid Reference) - kaynak veri</t>
        </is>
      </c>
    </row>
    <row r="190" ht="22" customHeight="1">
      <c r="A190" s="5" t="inlineStr">
        <is>
          <t>gsd_m</t>
        </is>
      </c>
      <c r="B190" s="5" t="inlineStr">
        <is>
          <t>gradient_multiplier</t>
        </is>
      </c>
      <c r="C190" s="5" t="inlineStr">
        <is>
          <t>jenness_window_8tri</t>
        </is>
      </c>
      <c r="D190" s="5" t="inlineStr">
        <is>
          <t>sector_adaptive_jenness_integral</t>
        </is>
      </c>
      <c r="E190" s="5" t="inlineStr">
        <is>
          <t>tin_2tri_cell</t>
        </is>
      </c>
    </row>
    <row r="191">
      <c r="A191" s="6" t="n">
        <v>0.05</v>
      </c>
      <c r="B191" s="6" t="n">
        <v>-0.000697190930083373</v>
      </c>
      <c r="C191" s="6" t="n">
        <v>-0.0001146832070381393</v>
      </c>
      <c r="D191" s="6" t="n">
        <v>-0.0006672778279613381</v>
      </c>
      <c r="E191" s="6" t="n">
        <v>-0.0003326694223065967</v>
      </c>
    </row>
    <row r="194" ht="20" customHeight="1">
      <c r="A194" s="4" t="inlineStr">
        <is>
          <t>Runtime vs GSD - kaynak veri</t>
        </is>
      </c>
    </row>
    <row r="195" ht="22" customHeight="1">
      <c r="A195" s="5" t="inlineStr">
        <is>
          <t>gsd_m</t>
        </is>
      </c>
      <c r="B195" s="5" t="inlineStr">
        <is>
          <t>gradient_multiplier</t>
        </is>
      </c>
      <c r="C195" s="5" t="inlineStr">
        <is>
          <t>jenness_window_8tri</t>
        </is>
      </c>
      <c r="D195" s="5" t="inlineStr">
        <is>
          <t>sector_adaptive_jenness_integral</t>
        </is>
      </c>
      <c r="E195" s="5" t="inlineStr">
        <is>
          <t>tin_2tri_cell</t>
        </is>
      </c>
    </row>
    <row r="196">
      <c r="A196" s="6" t="n">
        <v>0.05</v>
      </c>
      <c r="B196" s="6" t="n">
        <v>6.562194900000122</v>
      </c>
      <c r="C196" s="6" t="n">
        <v>60.16708660000859</v>
      </c>
      <c r="D196" s="6" t="n">
        <v>2333.834580499995</v>
      </c>
      <c r="E196" s="6" t="n">
        <v>16.07644019997497</v>
      </c>
    </row>
    <row r="197">
      <c r="A197" s="7" t="n">
        <v>0.1</v>
      </c>
      <c r="B197" s="7" t="n">
        <v>7.639026500005457</v>
      </c>
      <c r="C197" s="7" t="n">
        <v>19.4969781000018</v>
      </c>
      <c r="D197" s="7" t="n">
        <v>578.4375573000016</v>
      </c>
      <c r="E197" s="7" t="n">
        <v>9.792019099998925</v>
      </c>
    </row>
    <row r="198">
      <c r="A198" s="6" t="n">
        <v>0.5</v>
      </c>
      <c r="B198" s="6" t="n">
        <v>3.463322400001289</v>
      </c>
      <c r="C198" s="6" t="n">
        <v>3.888524300000881</v>
      </c>
      <c r="D198" s="6" t="n">
        <v>27.63809349999883</v>
      </c>
      <c r="E198" s="6" t="n">
        <v>3.536074499998904</v>
      </c>
    </row>
    <row r="199">
      <c r="A199" s="7" t="n">
        <v>1</v>
      </c>
      <c r="B199" s="7" t="n">
        <v>3.527917500000967</v>
      </c>
      <c r="C199" s="7" t="n">
        <v>3.64127180000105</v>
      </c>
      <c r="D199" s="7" t="n">
        <v>10.99955930000033</v>
      </c>
      <c r="E199" s="7" t="n">
        <v>3.542750699999488</v>
      </c>
    </row>
    <row r="200">
      <c r="A200" s="6" t="n">
        <v>2</v>
      </c>
      <c r="B200" s="6" t="n">
        <v>3.396412899999177</v>
      </c>
      <c r="C200" s="6" t="n">
        <v>3.415846100000181</v>
      </c>
      <c r="D200" s="6" t="n">
        <v>5.138362700000016</v>
      </c>
      <c r="E200" s="6" t="n">
        <v>3.398740999999518</v>
      </c>
    </row>
    <row r="201">
      <c r="A201" s="7" t="n">
        <v>5</v>
      </c>
      <c r="B201" s="7" t="n">
        <v>3.319634999999835</v>
      </c>
      <c r="C201" s="7" t="n">
        <v>3.32125330000008</v>
      </c>
      <c r="D201" s="7" t="n">
        <v>3.402504300000146</v>
      </c>
      <c r="E201" s="7" t="n">
        <v>3.320224500000222</v>
      </c>
    </row>
    <row r="202">
      <c r="A202" s="6" t="n">
        <v>10</v>
      </c>
      <c r="B202" s="6" t="n">
        <v>3.389566699999705</v>
      </c>
      <c r="C202" s="6" t="n">
        <v>3.390243899999859</v>
      </c>
      <c r="D202" s="6" t="n">
        <v>3.409247399999913</v>
      </c>
      <c r="E202" s="6" t="n">
        <v>3.389796599999499</v>
      </c>
    </row>
    <row r="203">
      <c r="A203" s="7" t="n">
        <v>20</v>
      </c>
      <c r="B203" s="7" t="n">
        <v>3.580594099999871</v>
      </c>
      <c r="C203" s="7" t="n">
        <v>3.580893800000013</v>
      </c>
      <c r="D203" s="7" t="n">
        <v>3.586655099999916</v>
      </c>
      <c r="E203" s="7" t="n">
        <v>3.580750199999784</v>
      </c>
    </row>
    <row r="204">
      <c r="A204" s="6" t="n">
        <v>50</v>
      </c>
      <c r="B204" s="6" t="n">
        <v>5.011042899999666</v>
      </c>
      <c r="C204" s="6" t="n">
        <v>5.011112199999388</v>
      </c>
      <c r="D204" s="6" t="n">
        <v>5.013106199999584</v>
      </c>
      <c r="E204" s="6" t="n">
        <v>5.01114619999953</v>
      </c>
    </row>
    <row r="207" ht="20" customHeight="1">
      <c r="A207" s="4" t="inlineStr">
        <is>
          <t>Error vs Runtime - kaynak veri</t>
        </is>
      </c>
    </row>
    <row r="208" ht="22" customHeight="1">
      <c r="A208" s="5" t="inlineStr">
        <is>
          <t>gradient_multiplier runtime (s)</t>
        </is>
      </c>
      <c r="B208" s="5" t="inlineStr">
        <is>
          <t>gradient_multiplier</t>
        </is>
      </c>
      <c r="C208" s="5" t="inlineStr">
        <is>
          <t>jenness_window_8tri runtime (s)</t>
        </is>
      </c>
      <c r="D208" s="5" t="inlineStr">
        <is>
          <t>jenness_window_8tri</t>
        </is>
      </c>
      <c r="E208" s="5" t="inlineStr">
        <is>
          <t>sector_adaptive_jenness_integral runtime (s)</t>
        </is>
      </c>
      <c r="F208" s="5" t="inlineStr">
        <is>
          <t>sector_adaptive_jenness_integral</t>
        </is>
      </c>
      <c r="G208" s="5" t="inlineStr">
        <is>
          <t>tin_2tri_cell runtime (s)</t>
        </is>
      </c>
      <c r="H208" s="5" t="inlineStr">
        <is>
          <t>tin_2tri_cell</t>
        </is>
      </c>
    </row>
    <row r="209">
      <c r="A209" s="6" t="n">
        <v>6.562194900000122</v>
      </c>
      <c r="B209" s="6" t="n">
        <v>0.000697190930083373</v>
      </c>
      <c r="C209" s="6" t="n">
        <v>60.16708660000859</v>
      </c>
      <c r="D209" s="6" t="n">
        <v>0.0001146832070381393</v>
      </c>
      <c r="E209" s="6" t="n">
        <v>2333.834580499995</v>
      </c>
      <c r="F209" s="6" t="n">
        <v>0.0006672778279613381</v>
      </c>
      <c r="G209" s="6" t="n">
        <v>16.07644019997497</v>
      </c>
      <c r="H209" s="6" t="n">
        <v>0.0003326694223065967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6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2026-03-18T23:30:21Z</dcterms:created>
  <dcterms:modified xsi:type="dcterms:W3CDTF">2026-03-18T23:30:21Z</dcterms:modified>
</cp:coreProperties>
</file>