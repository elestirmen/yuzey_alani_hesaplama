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_long" sheetId="1" state="visible" r:id="rId1"/>
    <sheet name="results_wide" sheetId="2" state="visible" r:id="rId2"/>
    <sheet name="reference_summary" sheetId="3" state="visible" r:id="rId3"/>
    <sheet name="run_info" sheetId="4" state="visible" r:id="rId4"/>
    <sheet name="grafikl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#####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1F1F"/>
      <sz val="11"/>
    </font>
    <font>
      <color rgb="003C4858"/>
      <sz val="10"/>
    </font>
    <font>
      <b val="1"/>
      <color rgb="001F1F1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CE6F1"/>
      </patternFill>
    </fill>
    <fill>
      <patternFill patternType="solid">
        <fgColor rgb="00F7FB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A3D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'grafikler'!B128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'grafikler'!$B$129:$B$137</f>
            </numRef>
          </yVal>
        </ser>
        <ser>
          <idx val="1"/>
          <order val="1"/>
          <tx>
            <strRef>
              <f>'grafikler'!C128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'grafikler'!$C$129:$C$137</f>
            </numRef>
          </yVal>
        </ser>
        <ser>
          <idx val="2"/>
          <order val="2"/>
          <tx>
            <strRef>
              <f>'grafikler'!D128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'grafikler'!$D$129:$D$137</f>
            </numRef>
          </yVal>
        </ser>
        <ser>
          <idx val="3"/>
          <order val="3"/>
          <tx>
            <strRef>
              <f>'grafikler'!E128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'grafikler'!$E$129:$E$137</f>
            </numRef>
          </yVal>
        </ser>
        <ser>
          <idx val="4"/>
          <order val="4"/>
          <tx>
            <strRef>
              <f>'grafikler'!F128</f>
            </strRef>
          </tx>
          <spPr>
            <a:ln w="25400">
              <a:solidFill>
                <a:srgbClr val="1F1F1F"/>
              </a:solidFill>
              <a:prstDash val="sysDot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1F1F1F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'grafikler'!$F$129:$F$137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A3D (m^2)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A3D/A2D Ratio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'grafikler'!B141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'grafikler'!$B$142:$B$150</f>
            </numRef>
          </yVal>
        </ser>
        <ser>
          <idx val="1"/>
          <order val="1"/>
          <tx>
            <strRef>
              <f>'grafikler'!C141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'grafikler'!$C$142:$C$150</f>
            </numRef>
          </yVal>
        </ser>
        <ser>
          <idx val="2"/>
          <order val="2"/>
          <tx>
            <strRef>
              <f>'grafikler'!D141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'grafikler'!$D$142:$D$150</f>
            </numRef>
          </yVal>
        </ser>
        <ser>
          <idx val="3"/>
          <order val="3"/>
          <tx>
            <strRef>
              <f>'grafikler'!E141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'grafikler'!$E$142:$E$150</f>
            </numRef>
          </yVal>
        </ser>
        <ser>
          <idx val="4"/>
          <order val="4"/>
          <tx>
            <strRef>
              <f>'grafikler'!F141</f>
            </strRef>
          </tx>
          <spPr>
            <a:ln w="25400">
              <a:solidFill>
                <a:srgbClr val="1F1F1F"/>
              </a:solidFill>
              <a:prstDash val="sysDot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1F1F1F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'grafikler'!$F$142:$F$150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A3D / A2D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Relative Error vs GSD (Native-grid Reference)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'grafikler'!B154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'grafikler'!$B$155</f>
            </numRef>
          </yVal>
        </ser>
        <ser>
          <idx val="1"/>
          <order val="1"/>
          <tx>
            <strRef>
              <f>'grafikler'!C154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'grafikler'!$C$155</f>
            </numRef>
          </yVal>
        </ser>
        <ser>
          <idx val="2"/>
          <order val="2"/>
          <tx>
            <strRef>
              <f>'grafikler'!D154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'grafikler'!$D$155</f>
            </numRef>
          </yVal>
        </ser>
        <ser>
          <idx val="3"/>
          <order val="3"/>
          <tx>
            <strRef>
              <f>'grafikler'!E154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'grafikler'!$E$155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Relative error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Runtime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'grafikler'!B159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'grafikler'!$B$160:$B$168</f>
            </numRef>
          </yVal>
        </ser>
        <ser>
          <idx val="1"/>
          <order val="1"/>
          <tx>
            <strRef>
              <f>'grafikler'!C159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'grafikler'!$C$160:$C$168</f>
            </numRef>
          </yVal>
        </ser>
        <ser>
          <idx val="2"/>
          <order val="2"/>
          <tx>
            <strRef>
              <f>'grafikler'!D159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'grafikler'!$D$160:$D$168</f>
            </numRef>
          </yVal>
        </ser>
        <ser>
          <idx val="3"/>
          <order val="3"/>
          <tx>
            <strRef>
              <f>'grafikler'!E159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'grafikler'!$E$160:$E$168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Runtime (s)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Error vs Runtime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'grafikler'!B172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'grafikler'!$A$173</f>
            </numRef>
          </xVal>
          <yVal>
            <numRef>
              <f>'grafikler'!$B$173</f>
            </numRef>
          </yVal>
        </ser>
        <ser>
          <idx val="1"/>
          <order val="1"/>
          <tx>
            <strRef>
              <f>'grafikler'!D172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'grafikler'!$C$173</f>
            </numRef>
          </xVal>
          <yVal>
            <numRef>
              <f>'grafikler'!$D$173</f>
            </numRef>
          </yVal>
        </ser>
        <ser>
          <idx val="2"/>
          <order val="2"/>
          <tx>
            <strRef>
              <f>'grafikler'!F172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'grafikler'!$E$173</f>
            </numRef>
          </xVal>
          <yVal>
            <numRef>
              <f>'grafikler'!$F$173</f>
            </numRef>
          </yVal>
        </ser>
        <ser>
          <idx val="3"/>
          <order val="3"/>
          <tx>
            <strRef>
              <f>'grafikler'!H172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'grafikler'!$G$173</f>
            </numRef>
          </xVal>
          <yVal>
            <numRef>
              <f>'grafikler'!$H$173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Runtime (s)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|Relative error vs native-grid ref|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56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28</row>
      <rowOff>0</rowOff>
    </from>
    <ext cx="7560000" cy="41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51</row>
      <rowOff>0</rowOff>
    </from>
    <ext cx="7560000" cy="41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74</row>
      <rowOff>0</rowOff>
    </from>
    <ext cx="7560000" cy="41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97</row>
      <rowOff>0</rowOff>
    </from>
    <ext cx="7560000" cy="41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esultsLongTable" displayName="ResultsLongTable" ref="A1:S38" headerRowCount="1">
  <autoFilter ref="A1:S38"/>
  <tableColumns count="19">
    <tableColumn id="1" name="gsd_m"/>
    <tableColumn id="2" name="dx"/>
    <tableColumn id="3" name="dy"/>
    <tableColumn id="4" name="method"/>
    <tableColumn id="5" name="A2D"/>
    <tableColumn id="6" name="A3D"/>
    <tableColumn id="7" name="ratio"/>
    <tableColumn id="8" name="valid_cells"/>
    <tableColumn id="9" name="runtime_sec"/>
    <tableColumn id="10" name="resample_runtime_sec"/>
    <tableColumn id="11" name="note"/>
    <tableColumn id="12" name="synthetic_native_ref_A2D"/>
    <tableColumn id="13" name="synthetic_native_ref_A3D"/>
    <tableColumn id="14" name="synthetic_native_ref_ratio"/>
    <tableColumn id="15" name="A3D_synthetic_native_ref_diff"/>
    <tableColumn id="16" name="A3D_synthetic_native_ref_rel_err"/>
    <tableColumn id="17" name="sector_jenness_avg_level"/>
    <tableColumn id="18" name="sector_jenness_max_level_used"/>
    <tableColumn id="19" name="sector_jenness_refined_fra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sWideTable" displayName="ResultsWideTable" ref="A1:E10" headerRowCount="1">
  <autoFilter ref="A1:E10"/>
  <tableColumns count="5">
    <tableColumn id="1" name="gsd_m"/>
    <tableColumn id="2" name="gradient_multiplier_A3D"/>
    <tableColumn id="3" name="jenness_window_8tri_A3D"/>
    <tableColumn id="4" name="sector_adaptive_jenness_integral_A3D"/>
    <tableColumn id="5" name="tin_2tri_cell_A3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erenceSummaryTable" displayName="ReferenceSummaryTable" ref="A1:H2" headerRowCount="1">
  <autoFilter ref="A1:H2"/>
  <tableColumns count="8">
    <tableColumn id="1" name="reference_kind"/>
    <tableColumn id="2" name="gsd_m"/>
    <tableColumn id="3" name="dx"/>
    <tableColumn id="4" name="dy"/>
    <tableColumn id="5" name="reference_A2D"/>
    <tableColumn id="6" name="reference_A3D"/>
    <tableColumn id="7" name="reference_ratio"/>
    <tableColumn id="8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unInfoTable" displayName="RunInfoTable" ref="A1:B53" headerRowCount="1">
  <autoFilter ref="A1:B53"/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3D_vs_GSD___kaynak_veri_127" displayName="A3D_vs_GSD___kaynak_veri_127" ref="A128:F137" headerRowCount="1">
  <autoFilter ref="A128:F137"/>
  <tableColumns count="6">
    <tableColumn id="1" name="gsd_m"/>
    <tableColumn id="2" name="gradient_multiplier"/>
    <tableColumn id="3" name="jenness_window_8tri"/>
    <tableColumn id="4" name="sector_adaptive_jenness_integral"/>
    <tableColumn id="5" name="tin_2tri_cell"/>
    <tableColumn id="6" name="Native-grid reference (per GSD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3D_A2D_Ratio_vs_GSD___kaynak_veri_140" displayName="A3D_A2D_Ratio_vs_GSD___kaynak_veri_140" ref="A141:F150" headerRowCount="1">
  <autoFilter ref="A141:F150"/>
  <tableColumns count="6">
    <tableColumn id="1" name="gsd_m"/>
    <tableColumn id="2" name="gradient_multiplier"/>
    <tableColumn id="3" name="jenness_window_8tri"/>
    <tableColumn id="4" name="sector_adaptive_jenness_integral"/>
    <tableColumn id="5" name="tin_2tri_cell"/>
    <tableColumn id="6" name="Native-grid reference (per GSD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lative_Error_vs_GSD__Native_grid_Reference____kaynak_veri_153" displayName="Relative_Error_vs_GSD__Native_grid_Reference____kaynak_veri_153" ref="A154:E155" headerRowCount="1">
  <autoFilter ref="A154:E155"/>
  <tableColumns count="5">
    <tableColumn id="1" name="gsd_m"/>
    <tableColumn id="2" name="gradient_multiplier"/>
    <tableColumn id="3" name="jenness_window_8tri"/>
    <tableColumn id="4" name="sector_adaptive_jenness_integral"/>
    <tableColumn id="5" name="tin_2tri_cel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untime_vs_GSD___kaynak_veri_158" displayName="Runtime_vs_GSD___kaynak_veri_158" ref="A159:E168" headerRowCount="1">
  <autoFilter ref="A159:E168"/>
  <tableColumns count="5">
    <tableColumn id="1" name="gsd_m"/>
    <tableColumn id="2" name="gradient_multiplier"/>
    <tableColumn id="3" name="jenness_window_8tri"/>
    <tableColumn id="4" name="sector_adaptive_jenness_integral"/>
    <tableColumn id="5" name="tin_2tri_cel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rror_vs_Runtime___kaynak_veri_171" displayName="Error_vs_Runtime___kaynak_veri_171" ref="A172:H173" headerRowCount="1">
  <autoFilter ref="A172:H173"/>
  <tableColumns count="8">
    <tableColumn id="1" name="gradient_multiplier runtime (s)"/>
    <tableColumn id="2" name="gradient_multiplier"/>
    <tableColumn id="3" name="jenness_window_8tri runtime (s)"/>
    <tableColumn id="4" name="jenness_window_8tri"/>
    <tableColumn id="5" name="sector_adaptive_jenness_integral runtime (s)"/>
    <tableColumn id="6" name="sector_adaptive_jenness_integral"/>
    <tableColumn id="7" name="tin_2tri_cell runtime (s)"/>
    <tableColumn id="8" name="tin_2tri_cel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Relationship Type="http://schemas.openxmlformats.org/officeDocument/2006/relationships/table" Target="/xl/tables/table8.xml" Id="rId5" /><Relationship Type="http://schemas.openxmlformats.org/officeDocument/2006/relationships/table" Target="/xl/tables/table9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gsd_m</t>
        </is>
      </c>
      <c r="B1" t="inlineStr">
        <is>
          <t>dx</t>
        </is>
      </c>
      <c r="C1" t="inlineStr">
        <is>
          <t>dy</t>
        </is>
      </c>
      <c r="D1" t="inlineStr">
        <is>
          <t>method</t>
        </is>
      </c>
      <c r="E1" t="inlineStr">
        <is>
          <t>A2D</t>
        </is>
      </c>
      <c r="F1" t="inlineStr">
        <is>
          <t>A3D</t>
        </is>
      </c>
      <c r="G1" t="inlineStr">
        <is>
          <t>ratio</t>
        </is>
      </c>
      <c r="H1" t="inlineStr">
        <is>
          <t>valid_cells</t>
        </is>
      </c>
      <c r="I1" t="inlineStr">
        <is>
          <t>runtime_sec</t>
        </is>
      </c>
      <c r="J1" t="inlineStr">
        <is>
          <t>resample_runtime_sec</t>
        </is>
      </c>
      <c r="K1" t="inlineStr">
        <is>
          <t>note</t>
        </is>
      </c>
      <c r="L1" t="inlineStr">
        <is>
          <t>synthetic_native_ref_A2D</t>
        </is>
      </c>
      <c r="M1" t="inlineStr">
        <is>
          <t>synthetic_native_ref_A3D</t>
        </is>
      </c>
      <c r="N1" t="inlineStr">
        <is>
          <t>synthetic_native_ref_ratio</t>
        </is>
      </c>
      <c r="O1" t="inlineStr">
        <is>
          <t>A3D_synthetic_native_ref_diff</t>
        </is>
      </c>
      <c r="P1" t="inlineStr">
        <is>
          <t>A3D_synthetic_native_ref_rel_err</t>
        </is>
      </c>
      <c r="Q1" t="inlineStr">
        <is>
          <t>sector_jenness_avg_level</t>
        </is>
      </c>
      <c r="R1" t="inlineStr">
        <is>
          <t>sector_jenness_max_level_used</t>
        </is>
      </c>
      <c r="S1" t="inlineStr">
        <is>
          <t>sector_jenness_refined_fraction</t>
        </is>
      </c>
    </row>
    <row r="2">
      <c r="A2" t="n">
        <v>0.05</v>
      </c>
      <c r="B2" t="n">
        <v>0.05</v>
      </c>
      <c r="C2" t="n">
        <v>0.05</v>
      </c>
      <c r="D2" t="inlineStr">
        <is>
          <t>gradient_multiplier</t>
        </is>
      </c>
      <c r="E2" t="n">
        <v>670924.8100000001</v>
      </c>
      <c r="F2" t="n">
        <v>874798.7915897813</v>
      </c>
      <c r="G2" t="n">
        <v>1.303870088795466</v>
      </c>
      <c r="H2" t="n">
        <v>268369924</v>
      </c>
      <c r="I2" t="n">
        <v>8.285964602604508</v>
      </c>
      <c r="J2" t="n">
        <v>0</v>
      </c>
      <c r="K2" t="inlineStr">
        <is>
          <t>resampling=native;dx=0.05;dy=0.05;slope_method=horn;runtime=compute_only</t>
        </is>
      </c>
      <c r="L2" t="n">
        <v>671006.7225000001</v>
      </c>
      <c r="M2" t="n">
        <v>875206.8473888112</v>
      </c>
      <c r="N2" t="n">
        <v>1.304319044864429</v>
      </c>
      <c r="O2" t="n">
        <v>-408.0557990298839</v>
      </c>
      <c r="P2" t="n">
        <v>-0.0004662392670342133</v>
      </c>
      <c r="Q2" t="inlineStr"/>
      <c r="R2" t="inlineStr"/>
      <c r="S2" t="inlineStr"/>
    </row>
    <row r="3">
      <c r="A3" t="n">
        <v>0.05</v>
      </c>
      <c r="B3" t="n">
        <v>0.05</v>
      </c>
      <c r="C3" t="n">
        <v>0.05</v>
      </c>
      <c r="D3" t="inlineStr">
        <is>
          <t>jenness_window_8tri</t>
        </is>
      </c>
      <c r="E3" t="n">
        <v>670924.8100000001</v>
      </c>
      <c r="F3" t="n">
        <v>875101.1721047431</v>
      </c>
      <c r="G3" t="n">
        <v>1.304320780900535</v>
      </c>
      <c r="H3" t="n">
        <v>268369924</v>
      </c>
      <c r="I3" t="n">
        <v>65.14002069766866</v>
      </c>
      <c r="J3" t="n">
        <v>0</v>
      </c>
      <c r="K3" t="inlineStr">
        <is>
          <t>resampling=native;dx=0.05;dy=0.05;weight=0.25;triangle=heron;runtime=compute_only</t>
        </is>
      </c>
      <c r="L3" t="n">
        <v>671006.7225000001</v>
      </c>
      <c r="M3" t="n">
        <v>875206.8473888112</v>
      </c>
      <c r="N3" t="n">
        <v>1.304319044864429</v>
      </c>
      <c r="O3" t="n">
        <v>-105.6752840681002</v>
      </c>
      <c r="P3" t="n">
        <v>-0.0001207432098861926</v>
      </c>
      <c r="Q3" t="inlineStr"/>
      <c r="R3" t="inlineStr"/>
      <c r="S3" t="inlineStr"/>
    </row>
    <row r="4">
      <c r="A4" t="n">
        <v>0.05</v>
      </c>
      <c r="B4" t="n">
        <v>0.05</v>
      </c>
      <c r="C4" t="n">
        <v>0.05</v>
      </c>
      <c r="D4" t="inlineStr">
        <is>
          <t>sector_adaptive_jenness_integral</t>
        </is>
      </c>
      <c r="E4" t="n">
        <v>670924.8100000001</v>
      </c>
      <c r="F4" t="n">
        <v>874839.2220845084</v>
      </c>
      <c r="G4" t="n">
        <v>1.303930349638596</v>
      </c>
      <c r="H4" t="n">
        <v>268369924</v>
      </c>
      <c r="I4" t="n">
        <v>2147.493256299815</v>
      </c>
      <c r="J4" t="n">
        <v>0</v>
      </c>
      <c r="K4" t="inlineStr">
        <is>
          <t>resampling=native;dx=0.05;dy=0.05;surface=quadratic_ls_3x3;partition=8_sector_cell;min_samples=3;rel_tol=0.0001;abs_tol=0;max_level=5;runtime=compute_only</t>
        </is>
      </c>
      <c r="L4" t="n">
        <v>671006.7225000001</v>
      </c>
      <c r="M4" t="n">
        <v>875206.8473888112</v>
      </c>
      <c r="N4" t="n">
        <v>1.304319044864429</v>
      </c>
      <c r="O4" t="n">
        <v>-367.6253043027828</v>
      </c>
      <c r="P4" t="n">
        <v>-0.0004200439077911659</v>
      </c>
      <c r="Q4" t="n">
        <v>0.9999999292022007</v>
      </c>
      <c r="R4" t="n">
        <v>1</v>
      </c>
      <c r="S4" t="n">
        <v>0.9999999292022007</v>
      </c>
    </row>
    <row r="5">
      <c r="A5" t="n">
        <v>0.05</v>
      </c>
      <c r="B5" t="n">
        <v>0.05</v>
      </c>
      <c r="C5" t="n">
        <v>0.05</v>
      </c>
      <c r="D5" t="inlineStr">
        <is>
          <t>tin_2tri_cell</t>
        </is>
      </c>
      <c r="E5" t="n">
        <v>670924.8100000001</v>
      </c>
      <c r="F5" t="n">
        <v>874859.2121775163</v>
      </c>
      <c r="G5" t="n">
        <v>1.3039601444721</v>
      </c>
      <c r="H5" t="n">
        <v>268369924</v>
      </c>
      <c r="I5" t="n">
        <v>16.614472600515</v>
      </c>
      <c r="J5" t="n">
        <v>0</v>
      </c>
      <c r="K5" t="inlineStr">
        <is>
          <t>resampling=native;dx=0.05;dy=0.05;triangles=2;runtime=compute_only</t>
        </is>
      </c>
      <c r="L5" t="n">
        <v>671006.7225000001</v>
      </c>
      <c r="M5" t="n">
        <v>875206.8473888112</v>
      </c>
      <c r="N5" t="n">
        <v>1.304319044864429</v>
      </c>
      <c r="O5" t="n">
        <v>-347.6352112948662</v>
      </c>
      <c r="P5" t="n">
        <v>-0.0003972034866180943</v>
      </c>
      <c r="Q5" t="inlineStr"/>
      <c r="R5" t="inlineStr"/>
      <c r="S5" t="inlineStr"/>
    </row>
    <row r="6">
      <c r="A6" t="n">
        <v>0.05</v>
      </c>
      <c r="B6" t="n">
        <v>0.05</v>
      </c>
      <c r="C6" t="n">
        <v>0.05</v>
      </c>
      <c r="D6" t="inlineStr">
        <is>
          <t>native_grid_reference</t>
        </is>
      </c>
      <c r="E6" t="n">
        <v>671006.7225000001</v>
      </c>
      <c r="F6" t="n">
        <v>875206.8473888112</v>
      </c>
      <c r="G6" t="n">
        <v>1.304319044864429</v>
      </c>
      <c r="H6" t="inlineStr"/>
      <c r="I6" t="inlineStr"/>
      <c r="J6" t="inlineStr"/>
      <c r="K6" t="inlineStr">
        <is>
          <t>reference_row=native_grid_reference</t>
        </is>
      </c>
      <c r="L6" t="n">
        <v>671006.7225000001</v>
      </c>
      <c r="M6" t="n">
        <v>875206.8473888112</v>
      </c>
      <c r="N6" t="n">
        <v>1.304319044864429</v>
      </c>
      <c r="O6" t="n">
        <v>0</v>
      </c>
      <c r="P6" t="n">
        <v>0</v>
      </c>
      <c r="Q6" t="inlineStr"/>
      <c r="R6" t="inlineStr"/>
      <c r="S6" t="inlineStr"/>
    </row>
    <row r="7">
      <c r="A7" t="n">
        <v>0.1</v>
      </c>
      <c r="B7" t="n">
        <v>0.1</v>
      </c>
      <c r="C7" t="n">
        <v>0.1</v>
      </c>
      <c r="D7" t="inlineStr">
        <is>
          <t>gradient_multiplier</t>
        </is>
      </c>
      <c r="E7" t="n">
        <v>670761</v>
      </c>
      <c r="F7" t="n">
        <v>872789.1798283571</v>
      </c>
      <c r="G7" t="n">
        <v>1.301192496028178</v>
      </c>
      <c r="H7" t="n">
        <v>67076100</v>
      </c>
      <c r="I7" t="n">
        <v>2.026437800435815</v>
      </c>
      <c r="J7" t="n">
        <v>5.756291700003203</v>
      </c>
      <c r="K7" t="inlineStr">
        <is>
          <t>resampling=bilinear;dx=0.1;dy=0.1;slope_method=horn;runtime=compute_only</t>
        </is>
      </c>
      <c r="L7" t="inlineStr"/>
      <c r="M7" t="inlineStr"/>
      <c r="N7" t="inlineStr"/>
      <c r="O7" t="inlineStr"/>
      <c r="P7" t="inlineStr"/>
      <c r="Q7" t="inlineStr"/>
      <c r="R7" t="inlineStr"/>
      <c r="S7" t="inlineStr"/>
    </row>
    <row r="8">
      <c r="A8" t="n">
        <v>0.1</v>
      </c>
      <c r="B8" t="n">
        <v>0.1</v>
      </c>
      <c r="C8" t="n">
        <v>0.1</v>
      </c>
      <c r="D8" t="inlineStr">
        <is>
          <t>jenness_window_8tri</t>
        </is>
      </c>
      <c r="E8" t="n">
        <v>670761</v>
      </c>
      <c r="F8" t="n">
        <v>873984.9075440776</v>
      </c>
      <c r="G8" t="n">
        <v>1.302975139496896</v>
      </c>
      <c r="H8" t="n">
        <v>67076100</v>
      </c>
      <c r="I8" t="n">
        <v>15.5347548997961</v>
      </c>
      <c r="J8" t="n">
        <v>5.756291700003203</v>
      </c>
      <c r="K8" t="inlineStr">
        <is>
          <t>resampling=bilinear;dx=0.1;dy=0.1;weight=0.25;triangle=heron;runtime=compute_only</t>
        </is>
      </c>
      <c r="L8" t="inlineStr"/>
      <c r="M8" t="inlineStr"/>
      <c r="N8" t="inlineStr"/>
      <c r="O8" t="inlineStr"/>
      <c r="P8" t="inlineStr"/>
      <c r="Q8" t="inlineStr"/>
      <c r="R8" t="inlineStr"/>
      <c r="S8" t="inlineStr"/>
    </row>
    <row r="9">
      <c r="A9" t="n">
        <v>0.1</v>
      </c>
      <c r="B9" t="n">
        <v>0.1</v>
      </c>
      <c r="C9" t="n">
        <v>0.1</v>
      </c>
      <c r="D9" t="inlineStr">
        <is>
          <t>sector_adaptive_jenness_integral</t>
        </is>
      </c>
      <c r="E9" t="n">
        <v>670761</v>
      </c>
      <c r="F9" t="n">
        <v>872948.8594732328</v>
      </c>
      <c r="G9" t="n">
        <v>1.301430553465739</v>
      </c>
      <c r="H9" t="n">
        <v>67076100</v>
      </c>
      <c r="I9" t="n">
        <v>537.9283900985029</v>
      </c>
      <c r="J9" t="n">
        <v>5.756291700003203</v>
      </c>
      <c r="K9" t="inlineStr">
        <is>
          <t>resampling=bilinear;dx=0.1;dy=0.1;surface=quadratic_ls_3x3;partition=8_sector_cell;min_samples=3;rel_tol=0.0001;abs_tol=0;max_level=5;runtime=compute_only</t>
        </is>
      </c>
      <c r="L9" t="inlineStr"/>
      <c r="M9" t="inlineStr"/>
      <c r="N9" t="inlineStr"/>
      <c r="O9" t="inlineStr"/>
      <c r="P9" t="inlineStr"/>
      <c r="Q9" t="n">
        <v>1</v>
      </c>
      <c r="R9" t="n">
        <v>1</v>
      </c>
      <c r="S9" t="n">
        <v>1</v>
      </c>
    </row>
    <row r="10">
      <c r="A10" t="n">
        <v>0.1</v>
      </c>
      <c r="B10" t="n">
        <v>0.1</v>
      </c>
      <c r="C10" t="n">
        <v>0.1</v>
      </c>
      <c r="D10" t="inlineStr">
        <is>
          <t>tin_2tri_cell</t>
        </is>
      </c>
      <c r="E10" t="n">
        <v>670761</v>
      </c>
      <c r="F10" t="n">
        <v>873027.6088530519</v>
      </c>
      <c r="G10" t="n">
        <v>1.301547956504704</v>
      </c>
      <c r="H10" t="n">
        <v>67076100</v>
      </c>
      <c r="I10" t="n">
        <v>4.128113299608231</v>
      </c>
      <c r="J10" t="n">
        <v>5.756291700003203</v>
      </c>
      <c r="K10" t="inlineStr">
        <is>
          <t>resampling=bilinear;dx=0.1;dy=0.1;triangles=2;runtime=compute_only</t>
        </is>
      </c>
      <c r="L10" t="inlineStr"/>
      <c r="M10" t="inlineStr"/>
      <c r="N10" t="inlineStr"/>
      <c r="O10" t="inlineStr"/>
      <c r="P10" t="inlineStr"/>
      <c r="Q10" t="inlineStr"/>
      <c r="R10" t="inlineStr"/>
      <c r="S10" t="inlineStr"/>
    </row>
    <row r="11">
      <c r="A11" t="n">
        <v>0.5</v>
      </c>
      <c r="B11" t="n">
        <v>0.5</v>
      </c>
      <c r="C11" t="n">
        <v>0.5</v>
      </c>
      <c r="D11" t="inlineStr">
        <is>
          <t>gradient_multiplier</t>
        </is>
      </c>
      <c r="E11" t="n">
        <v>669124</v>
      </c>
      <c r="F11" t="n">
        <v>829135.4905090361</v>
      </c>
      <c r="G11" t="n">
        <v>1.239135781273779</v>
      </c>
      <c r="H11" t="n">
        <v>2676496</v>
      </c>
      <c r="I11" t="n">
        <v>0.07761190016753972</v>
      </c>
      <c r="J11" t="n">
        <v>3.484839899989311</v>
      </c>
      <c r="K11" t="inlineStr">
        <is>
          <t>resampling=bilinear;dx=0.5;dy=0.5;slope_method=horn;runtime=compute_only</t>
        </is>
      </c>
      <c r="L11" t="inlineStr"/>
      <c r="M11" t="inlineStr"/>
      <c r="N11" t="inlineStr"/>
      <c r="O11" t="inlineStr"/>
      <c r="P11" t="inlineStr"/>
      <c r="Q11" t="inlineStr"/>
      <c r="R11" t="inlineStr"/>
      <c r="S11" t="inlineStr"/>
    </row>
    <row r="12">
      <c r="A12" t="n">
        <v>0.5</v>
      </c>
      <c r="B12" t="n">
        <v>0.5</v>
      </c>
      <c r="C12" t="n">
        <v>0.5</v>
      </c>
      <c r="D12" t="inlineStr">
        <is>
          <t>jenness_window_8tri</t>
        </is>
      </c>
      <c r="E12" t="n">
        <v>669124</v>
      </c>
      <c r="F12" t="n">
        <v>852303.1963929142</v>
      </c>
      <c r="G12" t="n">
        <v>1.273759716275181</v>
      </c>
      <c r="H12" t="n">
        <v>2676496</v>
      </c>
      <c r="I12" t="n">
        <v>0.4898255000589415</v>
      </c>
      <c r="J12" t="n">
        <v>3.484839899989311</v>
      </c>
      <c r="K12" t="inlineStr">
        <is>
          <t>resampling=bilinear;dx=0.5;dy=0.5;weight=0.25;triangle=heron;runtime=compute_only</t>
        </is>
      </c>
      <c r="L12" t="inlineStr"/>
      <c r="M12" t="inlineStr"/>
      <c r="N12" t="inlineStr"/>
      <c r="O12" t="inlineStr"/>
      <c r="P12" t="inlineStr"/>
      <c r="Q12" t="inlineStr"/>
      <c r="R12" t="inlineStr"/>
      <c r="S12" t="inlineStr"/>
    </row>
    <row r="13">
      <c r="A13" t="n">
        <v>0.5</v>
      </c>
      <c r="B13" t="n">
        <v>0.5</v>
      </c>
      <c r="C13" t="n">
        <v>0.5</v>
      </c>
      <c r="D13" t="inlineStr">
        <is>
          <t>sector_adaptive_jenness_integral</t>
        </is>
      </c>
      <c r="E13" t="n">
        <v>669124</v>
      </c>
      <c r="F13" t="n">
        <v>832267.3477943469</v>
      </c>
      <c r="G13" t="n">
        <v>1.243816314755332</v>
      </c>
      <c r="H13" t="n">
        <v>2676496</v>
      </c>
      <c r="I13" t="n">
        <v>20.46961289981846</v>
      </c>
      <c r="J13" t="n">
        <v>3.484839899989311</v>
      </c>
      <c r="K13" t="inlineStr">
        <is>
          <t>resampling=bilinear;dx=0.5;dy=0.5;surface=quadratic_ls_3x3;partition=8_sector_cell;min_samples=3;rel_tol=0.0001;abs_tol=0;max_level=5;runtime=compute_only</t>
        </is>
      </c>
      <c r="L13" t="inlineStr"/>
      <c r="M13" t="inlineStr"/>
      <c r="N13" t="inlineStr"/>
      <c r="O13" t="inlineStr"/>
      <c r="P13" t="inlineStr"/>
      <c r="Q13" t="n">
        <v>1.000324304613196</v>
      </c>
      <c r="R13" t="n">
        <v>2</v>
      </c>
      <c r="S13" t="n">
        <v>1</v>
      </c>
    </row>
    <row r="14">
      <c r="A14" t="n">
        <v>0.5</v>
      </c>
      <c r="B14" t="n">
        <v>0.5</v>
      </c>
      <c r="C14" t="n">
        <v>0.5</v>
      </c>
      <c r="D14" t="inlineStr">
        <is>
          <t>tin_2tri_cell</t>
        </is>
      </c>
      <c r="E14" t="n">
        <v>669124</v>
      </c>
      <c r="F14" t="n">
        <v>833312.4295035575</v>
      </c>
      <c r="G14" t="n">
        <v>1.245378180282814</v>
      </c>
      <c r="H14" t="n">
        <v>2676496</v>
      </c>
      <c r="I14" t="n">
        <v>0.1473791001481004</v>
      </c>
      <c r="J14" t="n">
        <v>3.484839899989311</v>
      </c>
      <c r="K14" t="inlineStr">
        <is>
          <t>resampling=bilinear;dx=0.5;dy=0.5;triangles=2;runtime=compute_only</t>
        </is>
      </c>
      <c r="L14" t="inlineStr"/>
      <c r="M14" t="inlineStr"/>
      <c r="N14" t="inlineStr"/>
      <c r="O14" t="inlineStr"/>
      <c r="P14" t="inlineStr"/>
      <c r="Q14" t="inlineStr"/>
      <c r="R14" t="inlineStr"/>
      <c r="S14" t="inlineStr"/>
    </row>
    <row r="15">
      <c r="A15" t="n">
        <v>1</v>
      </c>
      <c r="B15" t="n">
        <v>1</v>
      </c>
      <c r="C15" t="n">
        <v>1</v>
      </c>
      <c r="D15" t="inlineStr">
        <is>
          <t>gradient_multiplier</t>
        </is>
      </c>
      <c r="E15" t="n">
        <v>667489</v>
      </c>
      <c r="F15" t="n">
        <v>758208.0684150694</v>
      </c>
      <c r="G15" t="n">
        <v>1.135910956457813</v>
      </c>
      <c r="H15" t="n">
        <v>667489</v>
      </c>
      <c r="I15" t="n">
        <v>0.01457399997161701</v>
      </c>
      <c r="J15" t="n">
        <v>3.446768499969039</v>
      </c>
      <c r="K15" t="inlineStr">
        <is>
          <t>resampling=bilinear;dx=1;dy=1;slope_method=horn;runtime=compute_only</t>
        </is>
      </c>
      <c r="L15" t="inlineStr"/>
      <c r="M15" t="inlineStr"/>
      <c r="N15" t="inlineStr"/>
      <c r="O15" t="inlineStr"/>
      <c r="P15" t="inlineStr"/>
      <c r="Q15" t="inlineStr"/>
      <c r="R15" t="inlineStr"/>
      <c r="S15" t="inlineStr"/>
    </row>
    <row r="16">
      <c r="A16" t="n">
        <v>1</v>
      </c>
      <c r="B16" t="n">
        <v>1</v>
      </c>
      <c r="C16" t="n">
        <v>1</v>
      </c>
      <c r="D16" t="inlineStr">
        <is>
          <t>jenness_window_8tri</t>
        </is>
      </c>
      <c r="E16" t="n">
        <v>667489</v>
      </c>
      <c r="F16" t="n">
        <v>805222.6862728846</v>
      </c>
      <c r="G16" t="n">
        <v>1.206346001616333</v>
      </c>
      <c r="H16" t="n">
        <v>667489</v>
      </c>
      <c r="I16" t="n">
        <v>0.09423659980529919</v>
      </c>
      <c r="J16" t="n">
        <v>3.446768499969039</v>
      </c>
      <c r="K16" t="inlineStr">
        <is>
          <t>resampling=bilinear;dx=1;dy=1;weight=0.25;triangle=heron;runtime=compute_only</t>
        </is>
      </c>
      <c r="L16" t="inlineStr"/>
      <c r="M16" t="inlineStr"/>
      <c r="N16" t="inlineStr"/>
      <c r="O16" t="inlineStr"/>
      <c r="P16" t="inlineStr"/>
      <c r="Q16" t="inlineStr"/>
      <c r="R16" t="inlineStr"/>
      <c r="S16" t="inlineStr"/>
    </row>
    <row r="17">
      <c r="A17" t="n">
        <v>1</v>
      </c>
      <c r="B17" t="n">
        <v>1</v>
      </c>
      <c r="C17" t="n">
        <v>1</v>
      </c>
      <c r="D17" t="inlineStr">
        <is>
          <t>sector_adaptive_jenness_integral</t>
        </is>
      </c>
      <c r="E17" t="n">
        <v>667489</v>
      </c>
      <c r="F17" t="n">
        <v>764658.5645899832</v>
      </c>
      <c r="G17" t="n">
        <v>1.14557478039336</v>
      </c>
      <c r="H17" t="n">
        <v>667489</v>
      </c>
      <c r="I17" t="n">
        <v>6.312736599938944</v>
      </c>
      <c r="J17" t="n">
        <v>3.446768499969039</v>
      </c>
      <c r="K17" t="inlineStr">
        <is>
          <t>resampling=bilinear;dx=1;dy=1;surface=quadratic_ls_3x3;partition=8_sector_cell;min_samples=3;rel_tol=0.0001;abs_tol=0;max_level=5;runtime=compute_only</t>
        </is>
      </c>
      <c r="L17" t="inlineStr"/>
      <c r="M17" t="inlineStr"/>
      <c r="N17" t="inlineStr"/>
      <c r="O17" t="inlineStr"/>
      <c r="P17" t="inlineStr"/>
      <c r="Q17" t="n">
        <v>1.006952923568778</v>
      </c>
      <c r="R17" t="n">
        <v>2</v>
      </c>
      <c r="S17" t="n">
        <v>1</v>
      </c>
    </row>
    <row r="18">
      <c r="A18" t="n">
        <v>1</v>
      </c>
      <c r="B18" t="n">
        <v>1</v>
      </c>
      <c r="C18" t="n">
        <v>1</v>
      </c>
      <c r="D18" t="inlineStr">
        <is>
          <t>tin_2tri_cell</t>
        </is>
      </c>
      <c r="E18" t="n">
        <v>667489</v>
      </c>
      <c r="F18" t="n">
        <v>764799.6733938525</v>
      </c>
      <c r="G18" t="n">
        <v>1.145786182834253</v>
      </c>
      <c r="H18" t="n">
        <v>667489</v>
      </c>
      <c r="I18" t="n">
        <v>0.02773420012090355</v>
      </c>
      <c r="J18" t="n">
        <v>3.446768499969039</v>
      </c>
      <c r="K18" t="inlineStr">
        <is>
          <t>resampling=bilinear;dx=1;dy=1;triangles=2;runtime=compute_only</t>
        </is>
      </c>
      <c r="L18" t="inlineStr"/>
      <c r="M18" t="inlineStr"/>
      <c r="N18" t="inlineStr"/>
      <c r="O18" t="inlineStr"/>
      <c r="P18" t="inlineStr"/>
      <c r="Q18" t="inlineStr"/>
      <c r="R18" t="inlineStr"/>
      <c r="S18" t="inlineStr"/>
    </row>
    <row r="19">
      <c r="A19" t="n">
        <v>2</v>
      </c>
      <c r="B19" t="n">
        <v>2</v>
      </c>
      <c r="C19" t="n">
        <v>2</v>
      </c>
      <c r="D19" t="inlineStr">
        <is>
          <t>gradient_multiplier</t>
        </is>
      </c>
      <c r="E19" t="n">
        <v>665856</v>
      </c>
      <c r="F19" t="n">
        <v>696630.82209987</v>
      </c>
      <c r="G19" t="n">
        <v>1.046218434766481</v>
      </c>
      <c r="H19" t="n">
        <v>166464</v>
      </c>
      <c r="I19" t="n">
        <v>0.002923900028690696</v>
      </c>
      <c r="J19" t="n">
        <v>3.375807499978691</v>
      </c>
      <c r="K19" t="inlineStr">
        <is>
          <t>resampling=bilinear;dx=2;dy=2;slope_method=horn;runtime=compute_only</t>
        </is>
      </c>
      <c r="L19" t="inlineStr"/>
      <c r="M19" t="inlineStr"/>
      <c r="N19" t="inlineStr"/>
      <c r="O19" t="inlineStr"/>
      <c r="P19" t="inlineStr"/>
      <c r="Q19" t="inlineStr"/>
      <c r="R19" t="inlineStr"/>
      <c r="S19" t="inlineStr"/>
    </row>
    <row r="20">
      <c r="A20" t="n">
        <v>2</v>
      </c>
      <c r="B20" t="n">
        <v>2</v>
      </c>
      <c r="C20" t="n">
        <v>2</v>
      </c>
      <c r="D20" t="inlineStr">
        <is>
          <t>jenness_window_8tri</t>
        </is>
      </c>
      <c r="E20" t="n">
        <v>665856</v>
      </c>
      <c r="F20" t="n">
        <v>729248.9911176164</v>
      </c>
      <c r="G20" t="n">
        <v>1.095205256268047</v>
      </c>
      <c r="H20" t="n">
        <v>166464</v>
      </c>
      <c r="I20" t="n">
        <v>0.0196330999606289</v>
      </c>
      <c r="J20" t="n">
        <v>3.375807499978691</v>
      </c>
      <c r="K20" t="inlineStr">
        <is>
          <t>resampling=bilinear;dx=2;dy=2;weight=0.25;triangle=heron;runtime=compute_only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</row>
    <row r="21">
      <c r="A21" t="n">
        <v>2</v>
      </c>
      <c r="B21" t="n">
        <v>2</v>
      </c>
      <c r="C21" t="n">
        <v>2</v>
      </c>
      <c r="D21" t="inlineStr">
        <is>
          <t>sector_adaptive_jenness_integral</t>
        </is>
      </c>
      <c r="E21" t="n">
        <v>665856</v>
      </c>
      <c r="F21" t="n">
        <v>700927.5483665516</v>
      </c>
      <c r="G21" t="n">
        <v>1.052671370936887</v>
      </c>
      <c r="H21" t="n">
        <v>166464</v>
      </c>
      <c r="I21" t="n">
        <v>0.762800199969206</v>
      </c>
      <c r="J21" t="n">
        <v>3.375807499978691</v>
      </c>
      <c r="K21" t="inlineStr">
        <is>
          <t>resampling=bilinear;dx=2;dy=2;surface=quadratic_ls_3x3;partition=8_sector_cell;min_samples=3;rel_tol=0.0001;abs_tol=0;max_level=5;runtime=compute_only</t>
        </is>
      </c>
      <c r="L21" t="inlineStr"/>
      <c r="M21" t="inlineStr"/>
      <c r="N21" t="inlineStr"/>
      <c r="O21" t="inlineStr"/>
      <c r="P21" t="inlineStr"/>
      <c r="Q21" t="n">
        <v>1.000102124183007</v>
      </c>
      <c r="R21" t="n">
        <v>2</v>
      </c>
      <c r="S21" t="n">
        <v>1</v>
      </c>
    </row>
    <row r="22">
      <c r="A22" t="n">
        <v>2</v>
      </c>
      <c r="B22" t="n">
        <v>2</v>
      </c>
      <c r="C22" t="n">
        <v>2</v>
      </c>
      <c r="D22" t="inlineStr">
        <is>
          <t>tin_2tri_cell</t>
        </is>
      </c>
      <c r="E22" t="n">
        <v>665856</v>
      </c>
      <c r="F22" t="n">
        <v>699586.7591776324</v>
      </c>
      <c r="G22" t="n">
        <v>1.050657738576558</v>
      </c>
      <c r="H22" t="n">
        <v>166464</v>
      </c>
      <c r="I22" t="n">
        <v>0.005306100007146597</v>
      </c>
      <c r="J22" t="n">
        <v>3.375807499978691</v>
      </c>
      <c r="K22" t="inlineStr">
        <is>
          <t>resampling=bilinear;dx=2;dy=2;triangles=2;runtime=compute_only</t>
        </is>
      </c>
      <c r="L22" t="inlineStr"/>
      <c r="M22" t="inlineStr"/>
      <c r="N22" t="inlineStr"/>
      <c r="O22" t="inlineStr"/>
      <c r="P22" t="inlineStr"/>
      <c r="Q22" t="inlineStr"/>
      <c r="R22" t="inlineStr"/>
      <c r="S22" t="inlineStr"/>
    </row>
    <row r="23">
      <c r="A23" t="n">
        <v>5</v>
      </c>
      <c r="B23" t="n">
        <v>5</v>
      </c>
      <c r="C23" t="n">
        <v>5</v>
      </c>
      <c r="D23" t="inlineStr">
        <is>
          <t>gradient_multiplier</t>
        </is>
      </c>
      <c r="E23" t="n">
        <v>656100</v>
      </c>
      <c r="F23" t="n">
        <v>667722.7671728019</v>
      </c>
      <c r="G23" t="n">
        <v>1.017714932438351</v>
      </c>
      <c r="H23" t="n">
        <v>26244</v>
      </c>
      <c r="I23" t="n">
        <v>0.0003428999916650355</v>
      </c>
      <c r="J23" t="n">
        <v>3.422445900039747</v>
      </c>
      <c r="K23" t="inlineStr">
        <is>
          <t>resampling=bilinear;dx=5;dy=5;slope_method=horn;runtime=compute_only</t>
        </is>
      </c>
      <c r="L23" t="inlineStr"/>
      <c r="M23" t="inlineStr"/>
      <c r="N23" t="inlineStr"/>
      <c r="O23" t="inlineStr"/>
      <c r="P23" t="inlineStr"/>
      <c r="Q23" t="inlineStr"/>
      <c r="R23" t="inlineStr"/>
      <c r="S23" t="inlineStr"/>
    </row>
    <row r="24">
      <c r="A24" t="n">
        <v>5</v>
      </c>
      <c r="B24" t="n">
        <v>5</v>
      </c>
      <c r="C24" t="n">
        <v>5</v>
      </c>
      <c r="D24" t="inlineStr">
        <is>
          <t>jenness_window_8tri</t>
        </is>
      </c>
      <c r="E24" t="n">
        <v>656100</v>
      </c>
      <c r="F24" t="n">
        <v>672112.6770487803</v>
      </c>
      <c r="G24" t="n">
        <v>1.024405848268222</v>
      </c>
      <c r="H24" t="n">
        <v>26244</v>
      </c>
      <c r="I24" t="n">
        <v>0.001961899979505688</v>
      </c>
      <c r="J24" t="n">
        <v>3.422445900039747</v>
      </c>
      <c r="K24" t="inlineStr">
        <is>
          <t>resampling=bilinear;dx=5;dy=5;weight=0.25;triangle=heron;runtime=compute_only</t>
        </is>
      </c>
      <c r="L24" t="inlineStr"/>
      <c r="M24" t="inlineStr"/>
      <c r="N24" t="inlineStr"/>
      <c r="O24" t="inlineStr"/>
      <c r="P24" t="inlineStr"/>
      <c r="Q24" t="inlineStr"/>
      <c r="R24" t="inlineStr"/>
      <c r="S24" t="inlineStr"/>
    </row>
    <row r="25">
      <c r="A25" t="n">
        <v>5</v>
      </c>
      <c r="B25" t="n">
        <v>5</v>
      </c>
      <c r="C25" t="n">
        <v>5</v>
      </c>
      <c r="D25" t="inlineStr">
        <is>
          <t>sector_adaptive_jenness_integral</t>
        </is>
      </c>
      <c r="E25" t="n">
        <v>656100</v>
      </c>
      <c r="F25" t="n">
        <v>668275.4131590982</v>
      </c>
      <c r="G25" t="n">
        <v>1.018557252185792</v>
      </c>
      <c r="H25" t="n">
        <v>26244</v>
      </c>
      <c r="I25" t="n">
        <v>0.07829109998419881</v>
      </c>
      <c r="J25" t="n">
        <v>3.422445900039747</v>
      </c>
      <c r="K25" t="inlineStr">
        <is>
          <t>resampling=bilinear;dx=5;dy=5;surface=quadratic_ls_3x3;partition=8_sector_cell;min_samples=3;rel_tol=0.0001;abs_tol=0;max_level=5;runtime=compute_only</t>
        </is>
      </c>
      <c r="L25" t="inlineStr"/>
      <c r="M25" t="inlineStr"/>
      <c r="N25" t="inlineStr"/>
      <c r="O25" t="inlineStr"/>
      <c r="P25" t="inlineStr"/>
      <c r="Q25" t="n">
        <v>1</v>
      </c>
      <c r="R25" t="n">
        <v>1</v>
      </c>
      <c r="S25" t="n">
        <v>1</v>
      </c>
    </row>
    <row r="26">
      <c r="A26" t="n">
        <v>5</v>
      </c>
      <c r="B26" t="n">
        <v>5</v>
      </c>
      <c r="C26" t="n">
        <v>5</v>
      </c>
      <c r="D26" t="inlineStr">
        <is>
          <t>tin_2tri_cell</t>
        </is>
      </c>
      <c r="E26" t="n">
        <v>656100</v>
      </c>
      <c r="F26" t="n">
        <v>668038.8243883396</v>
      </c>
      <c r="G26" t="n">
        <v>1.018196653541136</v>
      </c>
      <c r="H26" t="n">
        <v>26244</v>
      </c>
      <c r="I26" t="n">
        <v>0.0007704999879933894</v>
      </c>
      <c r="J26" t="n">
        <v>3.422445900039747</v>
      </c>
      <c r="K26" t="inlineStr">
        <is>
          <t>resampling=bilinear;dx=5;dy=5;triangles=2;runtime=compute_only</t>
        </is>
      </c>
      <c r="L26" t="inlineStr"/>
      <c r="M26" t="inlineStr"/>
      <c r="N26" t="inlineStr"/>
      <c r="O26" t="inlineStr"/>
      <c r="P26" t="inlineStr"/>
      <c r="Q26" t="inlineStr"/>
      <c r="R26" t="inlineStr"/>
      <c r="S26" t="inlineStr"/>
    </row>
    <row r="27">
      <c r="A27" t="n">
        <v>10</v>
      </c>
      <c r="B27" t="n">
        <v>10</v>
      </c>
      <c r="C27" t="n">
        <v>10</v>
      </c>
      <c r="D27" t="inlineStr">
        <is>
          <t>gradient_multiplier</t>
        </is>
      </c>
      <c r="E27" t="n">
        <v>640000</v>
      </c>
      <c r="F27" t="n">
        <v>648868.5921682507</v>
      </c>
      <c r="G27" t="n">
        <v>1.013857175262892</v>
      </c>
      <c r="H27" t="n">
        <v>6400</v>
      </c>
      <c r="I27" t="n">
        <v>0.0001113999751396477</v>
      </c>
      <c r="J27" t="n">
        <v>3.528361300006509</v>
      </c>
      <c r="K27" t="inlineStr">
        <is>
          <t>resampling=bilinear;dx=10;dy=10;slope_method=horn;runtime=compute_only</t>
        </is>
      </c>
      <c r="L27" t="inlineStr"/>
      <c r="M27" t="inlineStr"/>
      <c r="N27" t="inlineStr"/>
      <c r="O27" t="inlineStr"/>
      <c r="P27" t="inlineStr"/>
      <c r="Q27" t="inlineStr"/>
      <c r="R27" t="inlineStr"/>
      <c r="S27" t="inlineStr"/>
    </row>
    <row r="28">
      <c r="A28" t="n">
        <v>10</v>
      </c>
      <c r="B28" t="n">
        <v>10</v>
      </c>
      <c r="C28" t="n">
        <v>10</v>
      </c>
      <c r="D28" t="inlineStr">
        <is>
          <t>jenness_window_8tri</t>
        </is>
      </c>
      <c r="E28" t="n">
        <v>640000</v>
      </c>
      <c r="F28" t="n">
        <v>650313.9716376544</v>
      </c>
      <c r="G28" t="n">
        <v>1.016115580683835</v>
      </c>
      <c r="H28" t="n">
        <v>6400</v>
      </c>
      <c r="I28" t="n">
        <v>0.000667200016323477</v>
      </c>
      <c r="J28" t="n">
        <v>3.528361300006509</v>
      </c>
      <c r="K28" t="inlineStr">
        <is>
          <t>resampling=bilinear;dx=10;dy=10;weight=0.25;triangle=heron;runtime=compute_only</t>
        </is>
      </c>
      <c r="L28" t="inlineStr"/>
      <c r="M28" t="inlineStr"/>
      <c r="N28" t="inlineStr"/>
      <c r="O28" t="inlineStr"/>
      <c r="P28" t="inlineStr"/>
      <c r="Q28" t="inlineStr"/>
      <c r="R28" t="inlineStr"/>
      <c r="S28" t="inlineStr"/>
    </row>
    <row r="29">
      <c r="A29" t="n">
        <v>10</v>
      </c>
      <c r="B29" t="n">
        <v>10</v>
      </c>
      <c r="C29" t="n">
        <v>10</v>
      </c>
      <c r="D29" t="inlineStr">
        <is>
          <t>sector_adaptive_jenness_integral</t>
        </is>
      </c>
      <c r="E29" t="n">
        <v>640000</v>
      </c>
      <c r="F29" t="n">
        <v>649089.5414992227</v>
      </c>
      <c r="G29" t="n">
        <v>1.014202408592536</v>
      </c>
      <c r="H29" t="n">
        <v>6400</v>
      </c>
      <c r="I29" t="n">
        <v>0.01899350003805012</v>
      </c>
      <c r="J29" t="n">
        <v>3.528361300006509</v>
      </c>
      <c r="K29" t="inlineStr">
        <is>
          <t>resampling=bilinear;dx=10;dy=10;surface=quadratic_ls_3x3;partition=8_sector_cell;min_samples=3;rel_tol=0.0001;abs_tol=0;max_level=5;runtime=compute_only</t>
        </is>
      </c>
      <c r="L29" t="inlineStr"/>
      <c r="M29" t="inlineStr"/>
      <c r="N29" t="inlineStr"/>
      <c r="O29" t="inlineStr"/>
      <c r="P29" t="inlineStr"/>
      <c r="Q29" t="n">
        <v>1</v>
      </c>
      <c r="R29" t="n">
        <v>1</v>
      </c>
      <c r="S29" t="n">
        <v>1</v>
      </c>
    </row>
    <row r="30">
      <c r="A30" t="n">
        <v>10</v>
      </c>
      <c r="B30" t="n">
        <v>10</v>
      </c>
      <c r="C30" t="n">
        <v>10</v>
      </c>
      <c r="D30" t="inlineStr">
        <is>
          <t>tin_2tri_cell</t>
        </is>
      </c>
      <c r="E30" t="n">
        <v>640000</v>
      </c>
      <c r="F30" t="n">
        <v>649046.2798103336</v>
      </c>
      <c r="G30" t="n">
        <v>1.014134812203646</v>
      </c>
      <c r="H30" t="n">
        <v>6400</v>
      </c>
      <c r="I30" t="n">
        <v>0.0003056999994441867</v>
      </c>
      <c r="J30" t="n">
        <v>3.528361300006509</v>
      </c>
      <c r="K30" t="inlineStr">
        <is>
          <t>resampling=bilinear;dx=10;dy=10;triangles=2;runtime=compute_only</t>
        </is>
      </c>
      <c r="L30" t="inlineStr"/>
      <c r="M30" t="inlineStr"/>
      <c r="N30" t="inlineStr"/>
      <c r="O30" t="inlineStr"/>
      <c r="P30" t="inlineStr"/>
      <c r="Q30" t="inlineStr"/>
      <c r="R30" t="inlineStr"/>
      <c r="S30" t="inlineStr"/>
    </row>
    <row r="31">
      <c r="A31" t="n">
        <v>20</v>
      </c>
      <c r="B31" t="n">
        <v>20</v>
      </c>
      <c r="C31" t="n">
        <v>20</v>
      </c>
      <c r="D31" t="inlineStr">
        <is>
          <t>gradient_multiplier</t>
        </is>
      </c>
      <c r="E31" t="n">
        <v>608400</v>
      </c>
      <c r="F31" t="n">
        <v>613680.7740610562</v>
      </c>
      <c r="G31" t="n">
        <v>1.008679773275898</v>
      </c>
      <c r="H31" t="n">
        <v>1521</v>
      </c>
      <c r="I31" t="n">
        <v>7.309997454285622e-05</v>
      </c>
      <c r="J31" t="n">
        <v>3.64858350000577</v>
      </c>
      <c r="K31" t="inlineStr">
        <is>
          <t>resampling=bilinear;dx=20;dy=20;slope_method=horn;runtime=compute_only</t>
        </is>
      </c>
      <c r="L31" t="inlineStr"/>
      <c r="M31" t="inlineStr"/>
      <c r="N31" t="inlineStr"/>
      <c r="O31" t="inlineStr"/>
      <c r="P31" t="inlineStr"/>
      <c r="Q31" t="inlineStr"/>
      <c r="R31" t="inlineStr"/>
      <c r="S31" t="inlineStr"/>
    </row>
    <row r="32">
      <c r="A32" t="n">
        <v>20</v>
      </c>
      <c r="B32" t="n">
        <v>20</v>
      </c>
      <c r="C32" t="n">
        <v>20</v>
      </c>
      <c r="D32" t="inlineStr">
        <is>
          <t>jenness_window_8tri</t>
        </is>
      </c>
      <c r="E32" t="n">
        <v>608400</v>
      </c>
      <c r="F32" t="n">
        <v>615926.0904051559</v>
      </c>
      <c r="G32" t="n">
        <v>1.012370299811236</v>
      </c>
      <c r="H32" t="n">
        <v>1521</v>
      </c>
      <c r="I32" t="n">
        <v>0.0002135999966412783</v>
      </c>
      <c r="J32" t="n">
        <v>3.64858350000577</v>
      </c>
      <c r="K32" t="inlineStr">
        <is>
          <t>resampling=bilinear;dx=20;dy=20;weight=0.25;triangle=heron;runtime=compute_only</t>
        </is>
      </c>
      <c r="L32" t="inlineStr"/>
      <c r="M32" t="inlineStr"/>
      <c r="N32" t="inlineStr"/>
      <c r="O32" t="inlineStr"/>
      <c r="P32" t="inlineStr"/>
      <c r="Q32" t="inlineStr"/>
      <c r="R32" t="inlineStr"/>
      <c r="S32" t="inlineStr"/>
    </row>
    <row r="33">
      <c r="A33" t="n">
        <v>20</v>
      </c>
      <c r="B33" t="n">
        <v>20</v>
      </c>
      <c r="C33" t="n">
        <v>20</v>
      </c>
      <c r="D33" t="inlineStr">
        <is>
          <t>sector_adaptive_jenness_integral</t>
        </is>
      </c>
      <c r="E33" t="n">
        <v>608400</v>
      </c>
      <c r="F33" t="n">
        <v>614009.537417057</v>
      </c>
      <c r="G33" t="n">
        <v>1.009220146970837</v>
      </c>
      <c r="H33" t="n">
        <v>1521</v>
      </c>
      <c r="I33" t="n">
        <v>0.005110699974466115</v>
      </c>
      <c r="J33" t="n">
        <v>3.64858350000577</v>
      </c>
      <c r="K33" t="inlineStr">
        <is>
          <t>resampling=bilinear;dx=20;dy=20;surface=quadratic_ls_3x3;partition=8_sector_cell;min_samples=3;rel_tol=0.0001;abs_tol=0;max_level=5;runtime=compute_only</t>
        </is>
      </c>
      <c r="L33" t="inlineStr"/>
      <c r="M33" t="inlineStr"/>
      <c r="N33" t="inlineStr"/>
      <c r="O33" t="inlineStr"/>
      <c r="P33" t="inlineStr"/>
      <c r="Q33" t="n">
        <v>1</v>
      </c>
      <c r="R33" t="n">
        <v>1</v>
      </c>
      <c r="S33" t="n">
        <v>1</v>
      </c>
    </row>
    <row r="34">
      <c r="A34" t="n">
        <v>20</v>
      </c>
      <c r="B34" t="n">
        <v>20</v>
      </c>
      <c r="C34" t="n">
        <v>20</v>
      </c>
      <c r="D34" t="inlineStr">
        <is>
          <t>tin_2tri_cell</t>
        </is>
      </c>
      <c r="E34" t="n">
        <v>608400</v>
      </c>
      <c r="F34" t="n">
        <v>614018.646463236</v>
      </c>
      <c r="G34" t="n">
        <v>1.009235119104596</v>
      </c>
      <c r="H34" t="n">
        <v>1521</v>
      </c>
      <c r="I34" t="n">
        <v>0.0002016000216826797</v>
      </c>
      <c r="J34" t="n">
        <v>3.64858350000577</v>
      </c>
      <c r="K34" t="inlineStr">
        <is>
          <t>resampling=bilinear;dx=20;dy=20;triangles=2;runtime=compute_only</t>
        </is>
      </c>
      <c r="L34" t="inlineStr"/>
      <c r="M34" t="inlineStr"/>
      <c r="N34" t="inlineStr"/>
      <c r="O34" t="inlineStr"/>
      <c r="P34" t="inlineStr"/>
      <c r="Q34" t="inlineStr"/>
      <c r="R34" t="inlineStr"/>
      <c r="S34" t="inlineStr"/>
    </row>
    <row r="35">
      <c r="A35" t="n">
        <v>50</v>
      </c>
      <c r="B35" t="n">
        <v>50</v>
      </c>
      <c r="C35" t="n">
        <v>50</v>
      </c>
      <c r="D35" t="inlineStr">
        <is>
          <t>gradient_multiplier</t>
        </is>
      </c>
      <c r="E35" t="n">
        <v>490000</v>
      </c>
      <c r="F35" t="n">
        <v>490636.9155905168</v>
      </c>
      <c r="G35" t="n">
        <v>1.001299827735749</v>
      </c>
      <c r="H35" t="n">
        <v>196</v>
      </c>
      <c r="I35" t="n">
        <v>5.370000144466758e-05</v>
      </c>
      <c r="J35" t="n">
        <v>5.208118199952878</v>
      </c>
      <c r="K35" t="inlineStr">
        <is>
          <t>resampling=bilinear;dx=50;dy=50;slope_method=horn;runtime=compute_only</t>
        </is>
      </c>
      <c r="L35" t="inlineStr"/>
      <c r="M35" t="inlineStr"/>
      <c r="N35" t="inlineStr"/>
      <c r="O35" t="inlineStr"/>
      <c r="P35" t="inlineStr"/>
      <c r="Q35" t="inlineStr"/>
      <c r="R35" t="inlineStr"/>
      <c r="S35" t="inlineStr"/>
    </row>
    <row r="36">
      <c r="A36" t="n">
        <v>50</v>
      </c>
      <c r="B36" t="n">
        <v>50</v>
      </c>
      <c r="C36" t="n">
        <v>50</v>
      </c>
      <c r="D36" t="inlineStr">
        <is>
          <t>jenness_window_8tri</t>
        </is>
      </c>
      <c r="E36" t="n">
        <v>490000</v>
      </c>
      <c r="F36" t="n">
        <v>491996.2771458302</v>
      </c>
      <c r="G36" t="n">
        <v>1.00407403499149</v>
      </c>
      <c r="H36" t="n">
        <v>196</v>
      </c>
      <c r="I36" t="n">
        <v>0.0001295999973081052</v>
      </c>
      <c r="J36" t="n">
        <v>5.208118199952878</v>
      </c>
      <c r="K36" t="inlineStr">
        <is>
          <t>resampling=bilinear;dx=50;dy=50;weight=0.25;triangle=heron;runtime=compute_only</t>
        </is>
      </c>
      <c r="L36" t="inlineStr"/>
      <c r="M36" t="inlineStr"/>
      <c r="N36" t="inlineStr"/>
      <c r="O36" t="inlineStr"/>
      <c r="P36" t="inlineStr"/>
      <c r="Q36" t="inlineStr"/>
      <c r="R36" t="inlineStr"/>
      <c r="S36" t="inlineStr"/>
    </row>
    <row r="37">
      <c r="A37" t="n">
        <v>50</v>
      </c>
      <c r="B37" t="n">
        <v>50</v>
      </c>
      <c r="C37" t="n">
        <v>50</v>
      </c>
      <c r="D37" t="inlineStr">
        <is>
          <t>sector_adaptive_jenness_integral</t>
        </is>
      </c>
      <c r="E37" t="n">
        <v>490000</v>
      </c>
      <c r="F37" t="n">
        <v>490793.3743237617</v>
      </c>
      <c r="G37" t="n">
        <v>1.001619131272983</v>
      </c>
      <c r="H37" t="n">
        <v>196</v>
      </c>
      <c r="I37" t="n">
        <v>0.002144899975974113</v>
      </c>
      <c r="J37" t="n">
        <v>5.208118199952878</v>
      </c>
      <c r="K37" t="inlineStr">
        <is>
          <t>resampling=bilinear;dx=50;dy=50;surface=quadratic_ls_3x3;partition=8_sector_cell;min_samples=3;rel_tol=0.0001;abs_tol=0;max_level=5;runtime=compute_only</t>
        </is>
      </c>
      <c r="L37" t="inlineStr"/>
      <c r="M37" t="inlineStr"/>
      <c r="N37" t="inlineStr"/>
      <c r="O37" t="inlineStr"/>
      <c r="P37" t="inlineStr"/>
      <c r="Q37" t="n">
        <v>1</v>
      </c>
      <c r="R37" t="n">
        <v>1</v>
      </c>
      <c r="S37" t="n">
        <v>1</v>
      </c>
    </row>
    <row r="38">
      <c r="A38" t="n">
        <v>50</v>
      </c>
      <c r="B38" t="n">
        <v>50</v>
      </c>
      <c r="C38" t="n">
        <v>50</v>
      </c>
      <c r="D38" t="inlineStr">
        <is>
          <t>tin_2tri_cell</t>
        </is>
      </c>
      <c r="E38" t="n">
        <v>490000</v>
      </c>
      <c r="F38" t="n">
        <v>490729.3386167412</v>
      </c>
      <c r="G38" t="n">
        <v>1.001488446156615</v>
      </c>
      <c r="H38" t="n">
        <v>196</v>
      </c>
      <c r="I38" t="n">
        <v>0.0001429999829269946</v>
      </c>
      <c r="J38" t="n">
        <v>5.208118199952878</v>
      </c>
      <c r="K38" t="inlineStr">
        <is>
          <t>resampling=bilinear;dx=50;dy=50;triangles=2;runtime=compute_only</t>
        </is>
      </c>
      <c r="L38" t="inlineStr"/>
      <c r="M38" t="inlineStr"/>
      <c r="N38" t="inlineStr"/>
      <c r="O38" t="inlineStr"/>
      <c r="P38" t="inlineStr"/>
      <c r="Q38" t="inlineStr"/>
      <c r="R38" t="inlineStr"/>
      <c r="S38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gsd_m</t>
        </is>
      </c>
      <c r="B1" t="inlineStr">
        <is>
          <t>gradient_multiplier_A3D</t>
        </is>
      </c>
      <c r="C1" t="inlineStr">
        <is>
          <t>jenness_window_8tri_A3D</t>
        </is>
      </c>
      <c r="D1" t="inlineStr">
        <is>
          <t>sector_adaptive_jenness_integral_A3D</t>
        </is>
      </c>
      <c r="E1" t="inlineStr">
        <is>
          <t>tin_2tri_cell_A3D</t>
        </is>
      </c>
    </row>
    <row r="2">
      <c r="A2" t="n">
        <v>0.05</v>
      </c>
      <c r="B2" t="n">
        <v>874798.7915897813</v>
      </c>
      <c r="C2" t="n">
        <v>875101.1721047431</v>
      </c>
      <c r="D2" t="n">
        <v>874839.2220845084</v>
      </c>
      <c r="E2" t="n">
        <v>874859.2121775163</v>
      </c>
    </row>
    <row r="3">
      <c r="A3" t="n">
        <v>0.1</v>
      </c>
      <c r="B3" t="n">
        <v>872789.1798283571</v>
      </c>
      <c r="C3" t="n">
        <v>873984.9075440776</v>
      </c>
      <c r="D3" t="n">
        <v>872948.8594732328</v>
      </c>
      <c r="E3" t="n">
        <v>873027.6088530519</v>
      </c>
    </row>
    <row r="4">
      <c r="A4" t="n">
        <v>0.5</v>
      </c>
      <c r="B4" t="n">
        <v>829135.4905090361</v>
      </c>
      <c r="C4" t="n">
        <v>852303.1963929142</v>
      </c>
      <c r="D4" t="n">
        <v>832267.3477943469</v>
      </c>
      <c r="E4" t="n">
        <v>833312.4295035575</v>
      </c>
    </row>
    <row r="5">
      <c r="A5" t="n">
        <v>1</v>
      </c>
      <c r="B5" t="n">
        <v>758208.0684150694</v>
      </c>
      <c r="C5" t="n">
        <v>805222.6862728846</v>
      </c>
      <c r="D5" t="n">
        <v>764658.5645899832</v>
      </c>
      <c r="E5" t="n">
        <v>764799.6733938525</v>
      </c>
    </row>
    <row r="6">
      <c r="A6" t="n">
        <v>2</v>
      </c>
      <c r="B6" t="n">
        <v>696630.82209987</v>
      </c>
      <c r="C6" t="n">
        <v>729248.9911176164</v>
      </c>
      <c r="D6" t="n">
        <v>700927.5483665516</v>
      </c>
      <c r="E6" t="n">
        <v>699586.7591776324</v>
      </c>
    </row>
    <row r="7">
      <c r="A7" t="n">
        <v>5</v>
      </c>
      <c r="B7" t="n">
        <v>667722.7671728019</v>
      </c>
      <c r="C7" t="n">
        <v>672112.6770487803</v>
      </c>
      <c r="D7" t="n">
        <v>668275.4131590982</v>
      </c>
      <c r="E7" t="n">
        <v>668038.8243883396</v>
      </c>
    </row>
    <row r="8">
      <c r="A8" t="n">
        <v>10</v>
      </c>
      <c r="B8" t="n">
        <v>648868.5921682507</v>
      </c>
      <c r="C8" t="n">
        <v>650313.9716376544</v>
      </c>
      <c r="D8" t="n">
        <v>649089.5414992227</v>
      </c>
      <c r="E8" t="n">
        <v>649046.2798103336</v>
      </c>
    </row>
    <row r="9">
      <c r="A9" t="n">
        <v>20</v>
      </c>
      <c r="B9" t="n">
        <v>613680.7740610562</v>
      </c>
      <c r="C9" t="n">
        <v>615926.0904051559</v>
      </c>
      <c r="D9" t="n">
        <v>614009.537417057</v>
      </c>
      <c r="E9" t="n">
        <v>614018.646463236</v>
      </c>
    </row>
    <row r="10">
      <c r="A10" t="n">
        <v>50</v>
      </c>
      <c r="B10" t="n">
        <v>490636.9155905168</v>
      </c>
      <c r="C10" t="n">
        <v>491996.2771458302</v>
      </c>
      <c r="D10" t="n">
        <v>490793.3743237617</v>
      </c>
      <c r="E10" t="n">
        <v>490729.3386167412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reference_kind</t>
        </is>
      </c>
      <c r="B1" t="inlineStr">
        <is>
          <t>gsd_m</t>
        </is>
      </c>
      <c r="C1" t="inlineStr">
        <is>
          <t>dx</t>
        </is>
      </c>
      <c r="D1" t="inlineStr">
        <is>
          <t>dy</t>
        </is>
      </c>
      <c r="E1" t="inlineStr">
        <is>
          <t>reference_A2D</t>
        </is>
      </c>
      <c r="F1" t="inlineStr">
        <is>
          <t>reference_A3D</t>
        </is>
      </c>
      <c r="G1" t="inlineStr">
        <is>
          <t>reference_ratio</t>
        </is>
      </c>
      <c r="H1" t="inlineStr">
        <is>
          <t>note</t>
        </is>
      </c>
    </row>
    <row r="2">
      <c r="A2" t="inlineStr">
        <is>
          <t>native_grid_reference</t>
        </is>
      </c>
      <c r="B2" t="n">
        <v>0.05</v>
      </c>
      <c r="C2" t="n">
        <v>0.05</v>
      </c>
      <c r="D2" t="n">
        <v>0.05</v>
      </c>
      <c r="E2" t="n">
        <v>671006.7225000001</v>
      </c>
      <c r="F2" t="n">
        <v>875206.8473888112</v>
      </c>
      <c r="G2" t="n">
        <v>1.304319044864429</v>
      </c>
      <c r="H2" t="inlineStr">
        <is>
          <t>Raster-grid reference evaluated on this GSD/grid.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timestamp_utc</t>
        </is>
      </c>
      <c r="B2" t="inlineStr">
        <is>
          <t>2026-03-17T08:24:40.763132+00:00</t>
        </is>
      </c>
    </row>
    <row r="3">
      <c r="A3" t="inlineStr">
        <is>
          <t>dem</t>
        </is>
      </c>
      <c r="B3" t="inlineStr">
        <is>
          <t>C:\d_surucusu\yuzey_alani_hesaplama\out_synth\synth_crater_field_16384x16384_dx0.05_seed0_20260315_213848.tif</t>
        </is>
      </c>
    </row>
    <row r="4">
      <c r="A4" t="inlineStr">
        <is>
          <t>dem_info.path</t>
        </is>
      </c>
      <c r="B4" t="inlineStr">
        <is>
          <t>C:\d_surucusu\yuzey_alani_hesaplama\out_synth\synth_crater_field_16384x16384_dx0.05_seed0_20260315_213848.tif</t>
        </is>
      </c>
    </row>
    <row r="5">
      <c r="A5" t="inlineStr">
        <is>
          <t>dem_info.crs</t>
        </is>
      </c>
      <c r="B5" t="inlineStr">
        <is>
          <t>EPSG:32636</t>
        </is>
      </c>
    </row>
    <row r="6">
      <c r="A6" t="inlineStr">
        <is>
          <t>dem_info.transform</t>
        </is>
      </c>
      <c r="B6" t="inlineStr">
        <is>
          <t>[0.05, 0.0, 500000.0, 0.0, -0.05, 4500000.0, 0.0, 0.0, 1.0]</t>
        </is>
      </c>
    </row>
    <row r="7">
      <c r="A7" t="inlineStr">
        <is>
          <t>dem_info.width</t>
        </is>
      </c>
      <c r="B7" t="n">
        <v>16384</v>
      </c>
    </row>
    <row r="8">
      <c r="A8" t="inlineStr">
        <is>
          <t>dem_info.height</t>
        </is>
      </c>
      <c r="B8" t="n">
        <v>16384</v>
      </c>
    </row>
    <row r="9">
      <c r="A9" t="inlineStr">
        <is>
          <t>dem_info.nodata</t>
        </is>
      </c>
      <c r="B9" t="n">
        <v>-9999</v>
      </c>
    </row>
    <row r="10">
      <c r="A10" t="inlineStr">
        <is>
          <t>dem_info.dtype</t>
        </is>
      </c>
      <c r="B10" t="inlineStr">
        <is>
          <t>float32</t>
        </is>
      </c>
    </row>
    <row r="11">
      <c r="A11" t="inlineStr">
        <is>
          <t>dem_info.dx</t>
        </is>
      </c>
      <c r="B11" t="n">
        <v>0.05</v>
      </c>
    </row>
    <row r="12">
      <c r="A12" t="inlineStr">
        <is>
          <t>dem_info.dy</t>
        </is>
      </c>
      <c r="B12" t="n">
        <v>0.05</v>
      </c>
    </row>
    <row r="13">
      <c r="A13" t="inlineStr">
        <is>
          <t>synthetic_reference.sidecar_path</t>
        </is>
      </c>
      <c r="B13" t="inlineStr">
        <is>
          <t>C:\d_surucusu\yuzey_alani_hesaplama\out_synth\synth_crater_field_16384x16384_dx0.05_seed0_20260315_213848.reference.json</t>
        </is>
      </c>
    </row>
    <row r="14">
      <c r="A14" t="inlineStr">
        <is>
          <t>synthetic_reference.terrain_family</t>
        </is>
      </c>
      <c r="B14" t="inlineStr">
        <is>
          <t>raster_first</t>
        </is>
      </c>
    </row>
    <row r="15">
      <c r="A15" t="inlineStr">
        <is>
          <t>synthetic_reference.has_continuous_ground_truth</t>
        </is>
      </c>
      <c r="B15" t="b">
        <v>0</v>
      </c>
    </row>
    <row r="16">
      <c r="A16" t="inlineStr">
        <is>
          <t>synthetic_reference.continuous_gt_is_gsd_independent</t>
        </is>
      </c>
      <c r="B16" t="b">
        <v>0</v>
      </c>
    </row>
    <row r="17">
      <c r="A17" t="inlineStr">
        <is>
          <t>synthetic_reference.continuous_gt_surface_area_m2</t>
        </is>
      </c>
      <c r="B17" t="inlineStr"/>
    </row>
    <row r="18">
      <c r="A18" t="inlineStr">
        <is>
          <t>synthetic_reference.continuous_gt_planar_area_m2</t>
        </is>
      </c>
      <c r="B18" t="inlineStr"/>
    </row>
    <row r="19">
      <c r="A19" t="inlineStr">
        <is>
          <t>synthetic_reference.native_reference_surface_area_m2</t>
        </is>
      </c>
      <c r="B19" t="n">
        <v>875206.8473888112</v>
      </c>
    </row>
    <row r="20">
      <c r="A20" t="inlineStr">
        <is>
          <t>synthetic_reference.resolution_count</t>
        </is>
      </c>
      <c r="B20" t="n">
        <v>1</v>
      </c>
    </row>
    <row r="21">
      <c r="A21" t="inlineStr">
        <is>
          <t>versions.python</t>
        </is>
      </c>
      <c r="B21" t="inlineStr">
        <is>
          <t>3.12.13 | packaged by conda-forge | (main, Mar  5 2026, 16:36:12) [MSC v.1944 64 bit (AMD64)]</t>
        </is>
      </c>
    </row>
    <row r="22">
      <c r="A22" t="inlineStr">
        <is>
          <t>versions.surface_area</t>
        </is>
      </c>
      <c r="B22" t="inlineStr">
        <is>
          <t>0.1.0</t>
        </is>
      </c>
    </row>
    <row r="23">
      <c r="A23" t="inlineStr">
        <is>
          <t>versions.numpy</t>
        </is>
      </c>
      <c r="B23" t="inlineStr">
        <is>
          <t>2.4.2</t>
        </is>
      </c>
    </row>
    <row r="24">
      <c r="A24" t="inlineStr">
        <is>
          <t>versions.rasterio</t>
        </is>
      </c>
      <c r="B24" t="inlineStr">
        <is>
          <t>1.5.0</t>
        </is>
      </c>
    </row>
    <row r="25">
      <c r="A25" t="inlineStr">
        <is>
          <t>versions.scipy</t>
        </is>
      </c>
      <c r="B25" t="inlineStr">
        <is>
          <t>1.17.1</t>
        </is>
      </c>
    </row>
    <row r="26">
      <c r="A26" t="inlineStr">
        <is>
          <t>versions.pandas</t>
        </is>
      </c>
      <c r="B26" t="inlineStr">
        <is>
          <t>3.0.1</t>
        </is>
      </c>
    </row>
    <row r="27">
      <c r="A27" t="inlineStr">
        <is>
          <t>versions.matplotlib</t>
        </is>
      </c>
      <c r="B27" t="inlineStr">
        <is>
          <t>3.10.8</t>
        </is>
      </c>
    </row>
    <row r="28">
      <c r="A28" t="inlineStr">
        <is>
          <t>params.gsd_specs</t>
        </is>
      </c>
      <c r="B28" t="inlineStr">
        <is>
          <t>["native", "0.1", "0.5", "1", "2", "5", "10", "20", "50"]</t>
        </is>
      </c>
    </row>
    <row r="29">
      <c r="A29" t="inlineStr">
        <is>
          <t>params.gsd_list</t>
        </is>
      </c>
      <c r="B29" t="inlineStr">
        <is>
          <t>[0.05, 0.1, 0.5, 1.0, 2.0, 5.0, 10.0, 20.0, 50.0]</t>
        </is>
      </c>
    </row>
    <row r="30">
      <c r="A30" t="inlineStr">
        <is>
          <t>params.methods</t>
        </is>
      </c>
      <c r="B30" t="inlineStr">
        <is>
          <t>["jenness_window_8tri", "sector_adaptive_jenness_integral", "tin_2tri_cell", "gradient_multiplier"]</t>
        </is>
      </c>
    </row>
    <row r="31">
      <c r="A31" t="inlineStr">
        <is>
          <t>params.resampling</t>
        </is>
      </c>
      <c r="B31" t="inlineStr">
        <is>
          <t>bilinear</t>
        </is>
      </c>
    </row>
    <row r="32">
      <c r="A32" t="inlineStr">
        <is>
          <t>params.nodata_override</t>
        </is>
      </c>
      <c r="B32" t="inlineStr"/>
    </row>
    <row r="33">
      <c r="A33" t="inlineStr">
        <is>
          <t>params.slope_method</t>
        </is>
      </c>
      <c r="B33" t="inlineStr">
        <is>
          <t>horn</t>
        </is>
      </c>
    </row>
    <row r="34">
      <c r="A34" t="inlineStr">
        <is>
          <t>params.jenness_weight</t>
        </is>
      </c>
      <c r="B34" t="n">
        <v>0.25</v>
      </c>
    </row>
    <row r="35">
      <c r="A35" t="inlineStr">
        <is>
          <t>params.integral_N</t>
        </is>
      </c>
      <c r="B35" t="n">
        <v>5</v>
      </c>
    </row>
    <row r="36">
      <c r="A36" t="inlineStr">
        <is>
          <t>params.adaptive_rel_tol</t>
        </is>
      </c>
      <c r="B36" t="n">
        <v>0.0001</v>
      </c>
    </row>
    <row r="37">
      <c r="A37" t="inlineStr">
        <is>
          <t>params.adaptive_abs_tol</t>
        </is>
      </c>
      <c r="B37" t="n">
        <v>0</v>
      </c>
    </row>
    <row r="38">
      <c r="A38" t="inlineStr">
        <is>
          <t>params.adaptive_max_level</t>
        </is>
      </c>
      <c r="B38" t="n">
        <v>5</v>
      </c>
    </row>
    <row r="39">
      <c r="A39" t="inlineStr">
        <is>
          <t>params.adaptive_min_N</t>
        </is>
      </c>
      <c r="B39" t="n">
        <v>2</v>
      </c>
    </row>
    <row r="40">
      <c r="A40" t="inlineStr">
        <is>
          <t>params.adaptive_roughness_fastpath</t>
        </is>
      </c>
      <c r="B40" t="b">
        <v>1</v>
      </c>
    </row>
    <row r="41">
      <c r="A41" t="inlineStr">
        <is>
          <t>params.adaptive_roughness_threshold</t>
        </is>
      </c>
      <c r="B41" t="inlineStr"/>
    </row>
    <row r="42">
      <c r="A42" t="inlineStr">
        <is>
          <t>params.sector_jenness_rel_tol</t>
        </is>
      </c>
      <c r="B42" t="n">
        <v>0.0001</v>
      </c>
    </row>
    <row r="43">
      <c r="A43" t="inlineStr">
        <is>
          <t>params.sector_jenness_abs_tol</t>
        </is>
      </c>
      <c r="B43" t="n">
        <v>0</v>
      </c>
    </row>
    <row r="44">
      <c r="A44" t="inlineStr">
        <is>
          <t>params.sector_jenness_max_level</t>
        </is>
      </c>
      <c r="B44" t="n">
        <v>5</v>
      </c>
    </row>
    <row r="45">
      <c r="A45" t="inlineStr">
        <is>
          <t>params.sector_jenness_min_samples</t>
        </is>
      </c>
      <c r="B45" t="n">
        <v>3</v>
      </c>
    </row>
    <row r="46">
      <c r="A46" t="inlineStr">
        <is>
          <t>params.sigma_mode</t>
        </is>
      </c>
      <c r="B46" t="inlineStr">
        <is>
          <t>mult</t>
        </is>
      </c>
    </row>
    <row r="47">
      <c r="A47" t="inlineStr">
        <is>
          <t>params.sigma_m_values</t>
        </is>
      </c>
      <c r="B47" t="inlineStr">
        <is>
          <t>[2.0, 5.0]</t>
        </is>
      </c>
    </row>
    <row r="48">
      <c r="A48" t="inlineStr">
        <is>
          <t>params.roi</t>
        </is>
      </c>
      <c r="B48" t="inlineStr"/>
    </row>
    <row r="49">
      <c r="A49" t="inlineStr">
        <is>
          <t>params.roi_id_field</t>
        </is>
      </c>
      <c r="B49" t="inlineStr"/>
    </row>
    <row r="50">
      <c r="A50" t="inlineStr">
        <is>
          <t>params.roi_mode</t>
        </is>
      </c>
      <c r="B50" t="inlineStr">
        <is>
          <t>mask</t>
        </is>
      </c>
    </row>
    <row r="51">
      <c r="A51" t="inlineStr">
        <is>
          <t>params.roi_all_touched</t>
        </is>
      </c>
      <c r="B51" t="b">
        <v>0</v>
      </c>
    </row>
    <row r="52">
      <c r="A52" t="inlineStr">
        <is>
          <t>params.roi_only</t>
        </is>
      </c>
      <c r="B52" t="b">
        <v>0</v>
      </c>
    </row>
    <row r="53">
      <c r="A53" t="inlineStr">
        <is>
          <t>params.workers</t>
        </is>
      </c>
      <c r="B53" t="n">
        <v>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73"/>
  <sheetViews>
    <sheetView showGridLines="1" showRowColHeaders="1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2" customWidth="1" min="4" max="4"/>
    <col width="47" customWidth="1" min="5" max="5"/>
    <col width="35" customWidth="1" min="6" max="6"/>
    <col width="28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4" customHeight="1">
      <c r="A1" s="1" t="inlineStr">
        <is>
          <t>Grafikler</t>
        </is>
      </c>
    </row>
    <row r="2" ht="20" customHeight="1">
      <c r="A2" s="2" t="inlineStr">
        <is>
          <t>Excel chart nesneleri ile duzenlenebilir dashboard gorunumu</t>
        </is>
      </c>
    </row>
    <row r="3" ht="22" customHeight="1">
      <c r="A3" s="3" t="inlineStr">
        <is>
          <t>Kaynak tablolar asagidadadir. Seri, eksen ve stil ayarlarini Excel icinden degistirebilirsiniz.</t>
        </is>
      </c>
    </row>
    <row r="4" ht="36" customHeight="1">
      <c r="A4" s="3" t="inlineStr">
        <is>
          <t>Ipuclari: legend veya seri ustune tiklayip renk/kalinlik degistirebilir, eksenleri sag tikla bicimlendirebilirsiniz.</t>
        </is>
      </c>
    </row>
    <row r="127" ht="20" customHeight="1">
      <c r="A127" s="4" t="inlineStr">
        <is>
          <t>A3D vs GSD - kaynak veri</t>
        </is>
      </c>
    </row>
    <row r="128" ht="22" customHeight="1">
      <c r="A128" s="5" t="inlineStr">
        <is>
          <t>gsd_m</t>
        </is>
      </c>
      <c r="B128" s="5" t="inlineStr">
        <is>
          <t>gradient_multiplier</t>
        </is>
      </c>
      <c r="C128" s="5" t="inlineStr">
        <is>
          <t>jenness_window_8tri</t>
        </is>
      </c>
      <c r="D128" s="5" t="inlineStr">
        <is>
          <t>sector_adaptive_jenness_integral</t>
        </is>
      </c>
      <c r="E128" s="5" t="inlineStr">
        <is>
          <t>tin_2tri_cell</t>
        </is>
      </c>
      <c r="F128" s="5" t="inlineStr">
        <is>
          <t>Native-grid reference (per GSD)</t>
        </is>
      </c>
    </row>
    <row r="129">
      <c r="A129" s="6" t="n">
        <v>0.05</v>
      </c>
      <c r="B129" s="6" t="n">
        <v>874798.7915897813</v>
      </c>
      <c r="C129" s="6" t="n">
        <v>875101.1721047431</v>
      </c>
      <c r="D129" s="6" t="n">
        <v>874839.2220845084</v>
      </c>
      <c r="E129" s="6" t="n">
        <v>874859.2121775163</v>
      </c>
      <c r="F129" s="6" t="n">
        <v>875206.8473888112</v>
      </c>
    </row>
    <row r="130">
      <c r="A130" s="7" t="n">
        <v>0.1</v>
      </c>
      <c r="B130" s="7" t="n">
        <v>872789.1798283571</v>
      </c>
      <c r="C130" s="7" t="n">
        <v>873984.9075440776</v>
      </c>
      <c r="D130" s="7" t="n">
        <v>872948.8594732328</v>
      </c>
      <c r="E130" s="7" t="n">
        <v>873027.6088530519</v>
      </c>
      <c r="F130" s="8" t="n"/>
    </row>
    <row r="131">
      <c r="A131" s="6" t="n">
        <v>0.5</v>
      </c>
      <c r="B131" s="6" t="n">
        <v>829135.4905090361</v>
      </c>
      <c r="C131" s="6" t="n">
        <v>852303.1963929142</v>
      </c>
      <c r="D131" s="6" t="n">
        <v>832267.3477943469</v>
      </c>
      <c r="E131" s="6" t="n">
        <v>833312.4295035575</v>
      </c>
      <c r="F131" s="9" t="n"/>
    </row>
    <row r="132">
      <c r="A132" s="7" t="n">
        <v>1</v>
      </c>
      <c r="B132" s="7" t="n">
        <v>758208.0684150694</v>
      </c>
      <c r="C132" s="7" t="n">
        <v>805222.6862728846</v>
      </c>
      <c r="D132" s="7" t="n">
        <v>764658.5645899832</v>
      </c>
      <c r="E132" s="7" t="n">
        <v>764799.6733938525</v>
      </c>
      <c r="F132" s="8" t="n"/>
    </row>
    <row r="133">
      <c r="A133" s="6" t="n">
        <v>2</v>
      </c>
      <c r="B133" s="6" t="n">
        <v>696630.82209987</v>
      </c>
      <c r="C133" s="6" t="n">
        <v>729248.9911176164</v>
      </c>
      <c r="D133" s="6" t="n">
        <v>700927.5483665516</v>
      </c>
      <c r="E133" s="6" t="n">
        <v>699586.7591776324</v>
      </c>
      <c r="F133" s="9" t="n"/>
    </row>
    <row r="134">
      <c r="A134" s="7" t="n">
        <v>5</v>
      </c>
      <c r="B134" s="7" t="n">
        <v>667722.7671728019</v>
      </c>
      <c r="C134" s="7" t="n">
        <v>672112.6770487803</v>
      </c>
      <c r="D134" s="7" t="n">
        <v>668275.4131590982</v>
      </c>
      <c r="E134" s="7" t="n">
        <v>668038.8243883396</v>
      </c>
      <c r="F134" s="8" t="n"/>
    </row>
    <row r="135">
      <c r="A135" s="6" t="n">
        <v>10</v>
      </c>
      <c r="B135" s="6" t="n">
        <v>648868.5921682507</v>
      </c>
      <c r="C135" s="6" t="n">
        <v>650313.9716376544</v>
      </c>
      <c r="D135" s="6" t="n">
        <v>649089.5414992227</v>
      </c>
      <c r="E135" s="6" t="n">
        <v>649046.2798103336</v>
      </c>
      <c r="F135" s="9" t="n"/>
    </row>
    <row r="136">
      <c r="A136" s="7" t="n">
        <v>20</v>
      </c>
      <c r="B136" s="7" t="n">
        <v>613680.7740610562</v>
      </c>
      <c r="C136" s="7" t="n">
        <v>615926.0904051559</v>
      </c>
      <c r="D136" s="7" t="n">
        <v>614009.537417057</v>
      </c>
      <c r="E136" s="7" t="n">
        <v>614018.646463236</v>
      </c>
      <c r="F136" s="8" t="n"/>
    </row>
    <row r="137">
      <c r="A137" s="6" t="n">
        <v>50</v>
      </c>
      <c r="B137" s="6" t="n">
        <v>490636.9155905168</v>
      </c>
      <c r="C137" s="6" t="n">
        <v>491996.2771458302</v>
      </c>
      <c r="D137" s="6" t="n">
        <v>490793.3743237617</v>
      </c>
      <c r="E137" s="6" t="n">
        <v>490729.3386167412</v>
      </c>
      <c r="F137" s="9" t="n"/>
    </row>
    <row r="140" ht="20" customHeight="1">
      <c r="A140" s="4" t="inlineStr">
        <is>
          <t>A3D/A2D Ratio vs GSD - kaynak veri</t>
        </is>
      </c>
    </row>
    <row r="141" ht="22" customHeight="1">
      <c r="A141" s="5" t="inlineStr">
        <is>
          <t>gsd_m</t>
        </is>
      </c>
      <c r="B141" s="5" t="inlineStr">
        <is>
          <t>gradient_multiplier</t>
        </is>
      </c>
      <c r="C141" s="5" t="inlineStr">
        <is>
          <t>jenness_window_8tri</t>
        </is>
      </c>
      <c r="D141" s="5" t="inlineStr">
        <is>
          <t>sector_adaptive_jenness_integral</t>
        </is>
      </c>
      <c r="E141" s="5" t="inlineStr">
        <is>
          <t>tin_2tri_cell</t>
        </is>
      </c>
      <c r="F141" s="5" t="inlineStr">
        <is>
          <t>Native-grid reference (per GSD)</t>
        </is>
      </c>
    </row>
    <row r="142">
      <c r="A142" s="6" t="n">
        <v>0.05</v>
      </c>
      <c r="B142" s="6" t="n">
        <v>1.303870088795466</v>
      </c>
      <c r="C142" s="6" t="n">
        <v>1.304320780900535</v>
      </c>
      <c r="D142" s="6" t="n">
        <v>1.303930349638596</v>
      </c>
      <c r="E142" s="6" t="n">
        <v>1.3039601444721</v>
      </c>
      <c r="F142" s="6" t="n">
        <v>1.304319044864429</v>
      </c>
    </row>
    <row r="143">
      <c r="A143" s="7" t="n">
        <v>0.1</v>
      </c>
      <c r="B143" s="7" t="n">
        <v>1.301192496028178</v>
      </c>
      <c r="C143" s="7" t="n">
        <v>1.302975139496896</v>
      </c>
      <c r="D143" s="7" t="n">
        <v>1.301430553465739</v>
      </c>
      <c r="E143" s="7" t="n">
        <v>1.301547956504704</v>
      </c>
      <c r="F143" s="8" t="n"/>
    </row>
    <row r="144">
      <c r="A144" s="6" t="n">
        <v>0.5</v>
      </c>
      <c r="B144" s="6" t="n">
        <v>1.239135781273779</v>
      </c>
      <c r="C144" s="6" t="n">
        <v>1.273759716275181</v>
      </c>
      <c r="D144" s="6" t="n">
        <v>1.243816314755332</v>
      </c>
      <c r="E144" s="6" t="n">
        <v>1.245378180282814</v>
      </c>
      <c r="F144" s="9" t="n"/>
    </row>
    <row r="145">
      <c r="A145" s="7" t="n">
        <v>1</v>
      </c>
      <c r="B145" s="7" t="n">
        <v>1.135910956457813</v>
      </c>
      <c r="C145" s="7" t="n">
        <v>1.206346001616333</v>
      </c>
      <c r="D145" s="7" t="n">
        <v>1.14557478039336</v>
      </c>
      <c r="E145" s="7" t="n">
        <v>1.145786182834253</v>
      </c>
      <c r="F145" s="8" t="n"/>
    </row>
    <row r="146">
      <c r="A146" s="6" t="n">
        <v>2</v>
      </c>
      <c r="B146" s="6" t="n">
        <v>1.046218434766481</v>
      </c>
      <c r="C146" s="6" t="n">
        <v>1.095205256268047</v>
      </c>
      <c r="D146" s="6" t="n">
        <v>1.052671370936887</v>
      </c>
      <c r="E146" s="6" t="n">
        <v>1.050657738576558</v>
      </c>
      <c r="F146" s="9" t="n"/>
    </row>
    <row r="147">
      <c r="A147" s="7" t="n">
        <v>5</v>
      </c>
      <c r="B147" s="7" t="n">
        <v>1.017714932438351</v>
      </c>
      <c r="C147" s="7" t="n">
        <v>1.024405848268222</v>
      </c>
      <c r="D147" s="7" t="n">
        <v>1.018557252185792</v>
      </c>
      <c r="E147" s="7" t="n">
        <v>1.018196653541136</v>
      </c>
      <c r="F147" s="8" t="n"/>
    </row>
    <row r="148">
      <c r="A148" s="6" t="n">
        <v>10</v>
      </c>
      <c r="B148" s="6" t="n">
        <v>1.013857175262892</v>
      </c>
      <c r="C148" s="6" t="n">
        <v>1.016115580683835</v>
      </c>
      <c r="D148" s="6" t="n">
        <v>1.014202408592536</v>
      </c>
      <c r="E148" s="6" t="n">
        <v>1.014134812203646</v>
      </c>
      <c r="F148" s="9" t="n"/>
    </row>
    <row r="149">
      <c r="A149" s="7" t="n">
        <v>20</v>
      </c>
      <c r="B149" s="7" t="n">
        <v>1.008679773275898</v>
      </c>
      <c r="C149" s="7" t="n">
        <v>1.012370299811236</v>
      </c>
      <c r="D149" s="7" t="n">
        <v>1.009220146970837</v>
      </c>
      <c r="E149" s="7" t="n">
        <v>1.009235119104596</v>
      </c>
      <c r="F149" s="8" t="n"/>
    </row>
    <row r="150">
      <c r="A150" s="6" t="n">
        <v>50</v>
      </c>
      <c r="B150" s="6" t="n">
        <v>1.001299827735749</v>
      </c>
      <c r="C150" s="6" t="n">
        <v>1.00407403499149</v>
      </c>
      <c r="D150" s="6" t="n">
        <v>1.001619131272983</v>
      </c>
      <c r="E150" s="6" t="n">
        <v>1.001488446156615</v>
      </c>
      <c r="F150" s="9" t="n"/>
    </row>
    <row r="153" ht="20" customHeight="1">
      <c r="A153" s="4" t="inlineStr">
        <is>
          <t>Relative Error vs GSD (Native-grid Reference) - kaynak veri</t>
        </is>
      </c>
    </row>
    <row r="154" ht="22" customHeight="1">
      <c r="A154" s="5" t="inlineStr">
        <is>
          <t>gsd_m</t>
        </is>
      </c>
      <c r="B154" s="5" t="inlineStr">
        <is>
          <t>gradient_multiplier</t>
        </is>
      </c>
      <c r="C154" s="5" t="inlineStr">
        <is>
          <t>jenness_window_8tri</t>
        </is>
      </c>
      <c r="D154" s="5" t="inlineStr">
        <is>
          <t>sector_adaptive_jenness_integral</t>
        </is>
      </c>
      <c r="E154" s="5" t="inlineStr">
        <is>
          <t>tin_2tri_cell</t>
        </is>
      </c>
    </row>
    <row r="155">
      <c r="A155" s="6" t="n">
        <v>0.05</v>
      </c>
      <c r="B155" s="6" t="n">
        <v>-0.0004662392670342133</v>
      </c>
      <c r="C155" s="6" t="n">
        <v>-0.0001207432098861926</v>
      </c>
      <c r="D155" s="6" t="n">
        <v>-0.0004200439077911659</v>
      </c>
      <c r="E155" s="6" t="n">
        <v>-0.0003972034866180943</v>
      </c>
    </row>
    <row r="158" ht="20" customHeight="1">
      <c r="A158" s="4" t="inlineStr">
        <is>
          <t>Runtime vs GSD - kaynak veri</t>
        </is>
      </c>
    </row>
    <row r="159" ht="22" customHeight="1">
      <c r="A159" s="5" t="inlineStr">
        <is>
          <t>gsd_m</t>
        </is>
      </c>
      <c r="B159" s="5" t="inlineStr">
        <is>
          <t>gradient_multiplier</t>
        </is>
      </c>
      <c r="C159" s="5" t="inlineStr">
        <is>
          <t>jenness_window_8tri</t>
        </is>
      </c>
      <c r="D159" s="5" t="inlineStr">
        <is>
          <t>sector_adaptive_jenness_integral</t>
        </is>
      </c>
      <c r="E159" s="5" t="inlineStr">
        <is>
          <t>tin_2tri_cell</t>
        </is>
      </c>
    </row>
    <row r="160">
      <c r="A160" s="6" t="n">
        <v>0.05</v>
      </c>
      <c r="B160" s="6" t="n">
        <v>8.285964602604508</v>
      </c>
      <c r="C160" s="6" t="n">
        <v>65.14002069766866</v>
      </c>
      <c r="D160" s="6" t="n">
        <v>2147.493256299815</v>
      </c>
      <c r="E160" s="6" t="n">
        <v>16.614472600515</v>
      </c>
    </row>
    <row r="161">
      <c r="A161" s="7" t="n">
        <v>0.1</v>
      </c>
      <c r="B161" s="7" t="n">
        <v>7.782729500439018</v>
      </c>
      <c r="C161" s="7" t="n">
        <v>21.2910465997993</v>
      </c>
      <c r="D161" s="7" t="n">
        <v>543.6846817985061</v>
      </c>
      <c r="E161" s="7" t="n">
        <v>9.884404999611434</v>
      </c>
    </row>
    <row r="162">
      <c r="A162" s="6" t="n">
        <v>0.5</v>
      </c>
      <c r="B162" s="6" t="n">
        <v>3.56245180015685</v>
      </c>
      <c r="C162" s="6" t="n">
        <v>3.974665400048252</v>
      </c>
      <c r="D162" s="6" t="n">
        <v>23.95445279980777</v>
      </c>
      <c r="E162" s="6" t="n">
        <v>3.632219000137411</v>
      </c>
    </row>
    <row r="163">
      <c r="A163" s="7" t="n">
        <v>1</v>
      </c>
      <c r="B163" s="7" t="n">
        <v>3.461342499940656</v>
      </c>
      <c r="C163" s="7" t="n">
        <v>3.541005099774338</v>
      </c>
      <c r="D163" s="7" t="n">
        <v>9.759505099907983</v>
      </c>
      <c r="E163" s="7" t="n">
        <v>3.474502700089943</v>
      </c>
    </row>
    <row r="164">
      <c r="A164" s="6" t="n">
        <v>2</v>
      </c>
      <c r="B164" s="6" t="n">
        <v>3.378731400007382</v>
      </c>
      <c r="C164" s="6" t="n">
        <v>3.39544059993932</v>
      </c>
      <c r="D164" s="6" t="n">
        <v>4.138607699947897</v>
      </c>
      <c r="E164" s="6" t="n">
        <v>3.381113599985838</v>
      </c>
    </row>
    <row r="165">
      <c r="A165" s="7" t="n">
        <v>5</v>
      </c>
      <c r="B165" s="7" t="n">
        <v>3.422788800031412</v>
      </c>
      <c r="C165" s="7" t="n">
        <v>3.424407800019253</v>
      </c>
      <c r="D165" s="7" t="n">
        <v>3.500737000023946</v>
      </c>
      <c r="E165" s="7" t="n">
        <v>3.423216400027741</v>
      </c>
    </row>
    <row r="166">
      <c r="A166" s="6" t="n">
        <v>10</v>
      </c>
      <c r="B166" s="6" t="n">
        <v>3.528472699981648</v>
      </c>
      <c r="C166" s="6" t="n">
        <v>3.529028500022832</v>
      </c>
      <c r="D166" s="6" t="n">
        <v>3.547354800044559</v>
      </c>
      <c r="E166" s="6" t="n">
        <v>3.528667000005953</v>
      </c>
    </row>
    <row r="167">
      <c r="A167" s="7" t="n">
        <v>20</v>
      </c>
      <c r="B167" s="7" t="n">
        <v>3.648656599980313</v>
      </c>
      <c r="C167" s="7" t="n">
        <v>3.648797100002412</v>
      </c>
      <c r="D167" s="7" t="n">
        <v>3.653694199980237</v>
      </c>
      <c r="E167" s="7" t="n">
        <v>3.648785100027453</v>
      </c>
    </row>
    <row r="168">
      <c r="A168" s="6" t="n">
        <v>50</v>
      </c>
      <c r="B168" s="6" t="n">
        <v>5.208171899954323</v>
      </c>
      <c r="C168" s="6" t="n">
        <v>5.208247799950186</v>
      </c>
      <c r="D168" s="6" t="n">
        <v>5.210263099928852</v>
      </c>
      <c r="E168" s="6" t="n">
        <v>5.208261199935805</v>
      </c>
    </row>
    <row r="171" ht="20" customHeight="1">
      <c r="A171" s="4" t="inlineStr">
        <is>
          <t>Error vs Runtime - kaynak veri</t>
        </is>
      </c>
    </row>
    <row r="172" ht="22" customHeight="1">
      <c r="A172" s="5" t="inlineStr">
        <is>
          <t>gradient_multiplier runtime (s)</t>
        </is>
      </c>
      <c r="B172" s="5" t="inlineStr">
        <is>
          <t>gradient_multiplier</t>
        </is>
      </c>
      <c r="C172" s="5" t="inlineStr">
        <is>
          <t>jenness_window_8tri runtime (s)</t>
        </is>
      </c>
      <c r="D172" s="5" t="inlineStr">
        <is>
          <t>jenness_window_8tri</t>
        </is>
      </c>
      <c r="E172" s="5" t="inlineStr">
        <is>
          <t>sector_adaptive_jenness_integral runtime (s)</t>
        </is>
      </c>
      <c r="F172" s="5" t="inlineStr">
        <is>
          <t>sector_adaptive_jenness_integral</t>
        </is>
      </c>
      <c r="G172" s="5" t="inlineStr">
        <is>
          <t>tin_2tri_cell runtime (s)</t>
        </is>
      </c>
      <c r="H172" s="5" t="inlineStr">
        <is>
          <t>tin_2tri_cell</t>
        </is>
      </c>
    </row>
    <row r="173">
      <c r="A173" s="6" t="n">
        <v>8.285964602604508</v>
      </c>
      <c r="B173" s="6" t="n">
        <v>0.0004662392670342133</v>
      </c>
      <c r="C173" s="6" t="n">
        <v>65.14002069766866</v>
      </c>
      <c r="D173" s="6" t="n">
        <v>0.0001207432098861926</v>
      </c>
      <c r="E173" s="6" t="n">
        <v>2147.493256299815</v>
      </c>
      <c r="F173" s="6" t="n">
        <v>0.0004200439077911659</v>
      </c>
      <c r="G173" s="6" t="n">
        <v>16.614472600515</v>
      </c>
      <c r="H173" s="6" t="n">
        <v>0.0003972034866180943</v>
      </c>
    </row>
  </sheetData>
  <mergeCells count="4">
    <mergeCell ref="A3:R3"/>
    <mergeCell ref="A2:R2"/>
    <mergeCell ref="A1:R1"/>
    <mergeCell ref="A4:R4"/>
  </mergeCells>
  <pageMargins left="0.75" right="0.75" top="1" bottom="1" header="0.5" footer="0.5"/>
  <drawing xmlns:r="http://schemas.openxmlformats.org/officeDocument/2006/relationships" r:id="rId1"/>
  <tableParts count="5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2026-03-17T08:31:27Z</dcterms:created>
  <dcterms:modified xsi:type="dcterms:W3CDTF">2026-03-17T08:31:27Z</dcterms:modified>
</cp:coreProperties>
</file>