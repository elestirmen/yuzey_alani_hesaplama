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s_long" sheetId="1" state="visible" r:id="rId1"/>
    <sheet name="results_wide" sheetId="2" state="visible" r:id="rId2"/>
    <sheet name="reference_summary" sheetId="3" state="visible" r:id="rId3"/>
    <sheet name="run_info" sheetId="4" state="visible" r:id="rId4"/>
    <sheet name="grafikle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#############"/>
  </numFmts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F1F1F"/>
      <sz val="11"/>
    </font>
    <font>
      <color rgb="003C4858"/>
      <sz val="10"/>
    </font>
    <font>
      <b val="1"/>
      <color rgb="001F1F1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DCE6F1"/>
      </patternFill>
    </fill>
    <fill>
      <patternFill patternType="solid">
        <fgColor rgb="00F7FB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A3D vs GSD</a:t>
            </a:r>
          </a:p>
        </rich>
      </tx>
    </title>
    <plotArea>
      <scatterChart>
        <scatterStyle val="lineMarker"/>
        <varyColors val="0"/>
        <ser>
          <idx val="0"/>
          <order val="0"/>
          <tx>
            <strRef>
              <f>'grafikler'!B128</f>
            </strRef>
          </tx>
          <spPr>
            <a:ln w="19050">
              <a:solidFill>
                <a:srgbClr val="4E79A7"/>
              </a:solidFill>
              <a:prstDash val="solid"/>
            </a:ln>
          </spPr>
          <marker>
            <symbol val="circle"/>
            <size val="7"/>
            <spPr>
              <a:solidFill>
                <a:srgbClr val="FFFFFF"/>
              </a:solidFill>
              <a:ln>
                <a:solidFill>
                  <a:srgbClr val="4E79A7"/>
                </a:solidFill>
                <a:prstDash val="solid"/>
              </a:ln>
            </spPr>
          </marker>
          <xVal>
            <numRef>
              <f>'grafikler'!$A$129:$A$137</f>
            </numRef>
          </xVal>
          <yVal>
            <numRef>
              <f>'grafikler'!$B$129:$B$137</f>
            </numRef>
          </yVal>
        </ser>
        <ser>
          <idx val="1"/>
          <order val="1"/>
          <tx>
            <strRef>
              <f>'grafikler'!C128</f>
            </strRef>
          </tx>
          <spPr>
            <a:ln w="19050">
              <a:solidFill>
                <a:srgbClr val="F28E2B"/>
              </a:solidFill>
              <a:prstDash val="solid"/>
            </a:ln>
          </spPr>
          <marker>
            <symbol val="triangle"/>
            <size val="7"/>
            <spPr>
              <a:solidFill>
                <a:srgbClr val="FFFFFF"/>
              </a:solidFill>
              <a:ln>
                <a:solidFill>
                  <a:srgbClr val="F28E2B"/>
                </a:solidFill>
                <a:prstDash val="solid"/>
              </a:ln>
            </spPr>
          </marker>
          <xVal>
            <numRef>
              <f>'grafikler'!$A$129:$A$137</f>
            </numRef>
          </xVal>
          <yVal>
            <numRef>
              <f>'grafikler'!$C$129:$C$137</f>
            </numRef>
          </yVal>
        </ser>
        <ser>
          <idx val="2"/>
          <order val="2"/>
          <tx>
            <strRef>
              <f>'grafikler'!D128</f>
            </strRef>
          </tx>
          <spPr>
            <a:ln w="19050">
              <a:solidFill>
                <a:srgbClr val="59A14F"/>
              </a:solidFill>
              <a:prstDash val="solid"/>
            </a:ln>
          </spPr>
          <marker>
            <symbol val="diamond"/>
            <size val="7"/>
            <spPr>
              <a:solidFill>
                <a:srgbClr val="FFFFFF"/>
              </a:solidFill>
              <a:ln>
                <a:solidFill>
                  <a:srgbClr val="59A14F"/>
                </a:solidFill>
                <a:prstDash val="solid"/>
              </a:ln>
            </spPr>
          </marker>
          <xVal>
            <numRef>
              <f>'grafikler'!$A$129:$A$137</f>
            </numRef>
          </xVal>
          <yVal>
            <numRef>
              <f>'grafikler'!$D$129:$D$137</f>
            </numRef>
          </yVal>
        </ser>
        <ser>
          <idx val="3"/>
          <order val="3"/>
          <tx>
            <strRef>
              <f>'grafikler'!E128</f>
            </strRef>
          </tx>
          <spPr>
            <a:ln w="19050">
              <a:solidFill>
                <a:srgbClr val="E15759"/>
              </a:solidFill>
              <a:prstDash val="solid"/>
            </a:ln>
          </spPr>
          <marker>
            <symbol val="square"/>
            <size val="7"/>
            <spPr>
              <a:solidFill>
                <a:srgbClr val="FFFFFF"/>
              </a:solidFill>
              <a:ln>
                <a:solidFill>
                  <a:srgbClr val="E15759"/>
                </a:solidFill>
                <a:prstDash val="solid"/>
              </a:ln>
            </spPr>
          </marker>
          <xVal>
            <numRef>
              <f>'grafikler'!$A$129:$A$137</f>
            </numRef>
          </xVal>
          <yVal>
            <numRef>
              <f>'grafikler'!$E$129:$E$137</f>
            </numRef>
          </yVal>
        </ser>
        <ser>
          <idx val="4"/>
          <order val="4"/>
          <tx>
            <strRef>
              <f>'grafikler'!F128</f>
            </strRef>
          </tx>
          <spPr>
            <a:ln w="25400">
              <a:solidFill>
                <a:srgbClr val="1F1F1F"/>
              </a:solidFill>
              <a:prstDash val="sysDot"/>
            </a:ln>
          </spPr>
          <marker>
            <symbol val="diamond"/>
            <size val="7"/>
            <spPr>
              <a:solidFill>
                <a:srgbClr val="FFFFFF"/>
              </a:solidFill>
              <a:ln>
                <a:solidFill>
                  <a:srgbClr val="1F1F1F"/>
                </a:solidFill>
                <a:prstDash val="solid"/>
              </a:ln>
            </spPr>
          </marker>
          <xVal>
            <numRef>
              <f>'grafikler'!$A$129:$A$137</f>
            </numRef>
          </xVal>
          <yVal>
            <numRef>
              <f>'grafikler'!$F$129:$F$137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GSD (m)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A3D (m^2)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10"/>
        <crosses val="mi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A3D/A2D Ratio vs GSD</a:t>
            </a:r>
          </a:p>
        </rich>
      </tx>
    </title>
    <plotArea>
      <scatterChart>
        <scatterStyle val="lineMarker"/>
        <varyColors val="0"/>
        <ser>
          <idx val="0"/>
          <order val="0"/>
          <tx>
            <strRef>
              <f>'grafikler'!B141</f>
            </strRef>
          </tx>
          <spPr>
            <a:ln w="19050">
              <a:solidFill>
                <a:srgbClr val="4E79A7"/>
              </a:solidFill>
              <a:prstDash val="solid"/>
            </a:ln>
          </spPr>
          <marker>
            <symbol val="circle"/>
            <size val="7"/>
            <spPr>
              <a:solidFill>
                <a:srgbClr val="FFFFFF"/>
              </a:solidFill>
              <a:ln>
                <a:solidFill>
                  <a:srgbClr val="4E79A7"/>
                </a:solidFill>
                <a:prstDash val="solid"/>
              </a:ln>
            </spPr>
          </marker>
          <xVal>
            <numRef>
              <f>'grafikler'!$A$142:$A$150</f>
            </numRef>
          </xVal>
          <yVal>
            <numRef>
              <f>'grafikler'!$B$142:$B$150</f>
            </numRef>
          </yVal>
        </ser>
        <ser>
          <idx val="1"/>
          <order val="1"/>
          <tx>
            <strRef>
              <f>'grafikler'!C141</f>
            </strRef>
          </tx>
          <spPr>
            <a:ln w="19050">
              <a:solidFill>
                <a:srgbClr val="F28E2B"/>
              </a:solidFill>
              <a:prstDash val="solid"/>
            </a:ln>
          </spPr>
          <marker>
            <symbol val="triangle"/>
            <size val="7"/>
            <spPr>
              <a:solidFill>
                <a:srgbClr val="FFFFFF"/>
              </a:solidFill>
              <a:ln>
                <a:solidFill>
                  <a:srgbClr val="F28E2B"/>
                </a:solidFill>
                <a:prstDash val="solid"/>
              </a:ln>
            </spPr>
          </marker>
          <xVal>
            <numRef>
              <f>'grafikler'!$A$142:$A$150</f>
            </numRef>
          </xVal>
          <yVal>
            <numRef>
              <f>'grafikler'!$C$142:$C$150</f>
            </numRef>
          </yVal>
        </ser>
        <ser>
          <idx val="2"/>
          <order val="2"/>
          <tx>
            <strRef>
              <f>'grafikler'!D141</f>
            </strRef>
          </tx>
          <spPr>
            <a:ln w="19050">
              <a:solidFill>
                <a:srgbClr val="59A14F"/>
              </a:solidFill>
              <a:prstDash val="solid"/>
            </a:ln>
          </spPr>
          <marker>
            <symbol val="diamond"/>
            <size val="7"/>
            <spPr>
              <a:solidFill>
                <a:srgbClr val="FFFFFF"/>
              </a:solidFill>
              <a:ln>
                <a:solidFill>
                  <a:srgbClr val="59A14F"/>
                </a:solidFill>
                <a:prstDash val="solid"/>
              </a:ln>
            </spPr>
          </marker>
          <xVal>
            <numRef>
              <f>'grafikler'!$A$142:$A$150</f>
            </numRef>
          </xVal>
          <yVal>
            <numRef>
              <f>'grafikler'!$D$142:$D$150</f>
            </numRef>
          </yVal>
        </ser>
        <ser>
          <idx val="3"/>
          <order val="3"/>
          <tx>
            <strRef>
              <f>'grafikler'!E141</f>
            </strRef>
          </tx>
          <spPr>
            <a:ln w="19050">
              <a:solidFill>
                <a:srgbClr val="E15759"/>
              </a:solidFill>
              <a:prstDash val="solid"/>
            </a:ln>
          </spPr>
          <marker>
            <symbol val="square"/>
            <size val="7"/>
            <spPr>
              <a:solidFill>
                <a:srgbClr val="FFFFFF"/>
              </a:solidFill>
              <a:ln>
                <a:solidFill>
                  <a:srgbClr val="E15759"/>
                </a:solidFill>
                <a:prstDash val="solid"/>
              </a:ln>
            </spPr>
          </marker>
          <xVal>
            <numRef>
              <f>'grafikler'!$A$142:$A$150</f>
            </numRef>
          </xVal>
          <yVal>
            <numRef>
              <f>'grafikler'!$E$142:$E$150</f>
            </numRef>
          </yVal>
        </ser>
        <ser>
          <idx val="4"/>
          <order val="4"/>
          <tx>
            <strRef>
              <f>'grafikler'!F141</f>
            </strRef>
          </tx>
          <spPr>
            <a:ln w="25400">
              <a:solidFill>
                <a:srgbClr val="1F1F1F"/>
              </a:solidFill>
              <a:prstDash val="sysDot"/>
            </a:ln>
          </spPr>
          <marker>
            <symbol val="diamond"/>
            <size val="7"/>
            <spPr>
              <a:solidFill>
                <a:srgbClr val="FFFFFF"/>
              </a:solidFill>
              <a:ln>
                <a:solidFill>
                  <a:srgbClr val="1F1F1F"/>
                </a:solidFill>
                <a:prstDash val="solid"/>
              </a:ln>
            </spPr>
          </marker>
          <xVal>
            <numRef>
              <f>'grafikler'!$A$142:$A$150</f>
            </numRef>
          </xVal>
          <yVal>
            <numRef>
              <f>'grafikler'!$F$142:$F$150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GSD (m)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A3D / A2D (-)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10"/>
        <crosses val="mi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Relative Error vs GSD (Native-grid Reference)</a:t>
            </a:r>
          </a:p>
        </rich>
      </tx>
    </title>
    <plotArea>
      <scatterChart>
        <scatterStyle val="lineMarker"/>
        <varyColors val="0"/>
        <ser>
          <idx val="0"/>
          <order val="0"/>
          <tx>
            <strRef>
              <f>'grafikler'!B154</f>
            </strRef>
          </tx>
          <spPr>
            <a:ln w="19050">
              <a:solidFill>
                <a:srgbClr val="4E79A7"/>
              </a:solidFill>
              <a:prstDash val="solid"/>
            </a:ln>
          </spPr>
          <marker>
            <symbol val="circle"/>
            <size val="7"/>
            <spPr>
              <a:solidFill>
                <a:srgbClr val="FFFFFF"/>
              </a:solidFill>
              <a:ln>
                <a:solidFill>
                  <a:srgbClr val="4E79A7"/>
                </a:solidFill>
                <a:prstDash val="solid"/>
              </a:ln>
            </spPr>
          </marker>
          <xVal>
            <numRef>
              <f>'grafikler'!$A$155</f>
            </numRef>
          </xVal>
          <yVal>
            <numRef>
              <f>'grafikler'!$B$155</f>
            </numRef>
          </yVal>
        </ser>
        <ser>
          <idx val="1"/>
          <order val="1"/>
          <tx>
            <strRef>
              <f>'grafikler'!C154</f>
            </strRef>
          </tx>
          <spPr>
            <a:ln w="19050">
              <a:solidFill>
                <a:srgbClr val="F28E2B"/>
              </a:solidFill>
              <a:prstDash val="solid"/>
            </a:ln>
          </spPr>
          <marker>
            <symbol val="triangle"/>
            <size val="7"/>
            <spPr>
              <a:solidFill>
                <a:srgbClr val="FFFFFF"/>
              </a:solidFill>
              <a:ln>
                <a:solidFill>
                  <a:srgbClr val="F28E2B"/>
                </a:solidFill>
                <a:prstDash val="solid"/>
              </a:ln>
            </spPr>
          </marker>
          <xVal>
            <numRef>
              <f>'grafikler'!$A$155</f>
            </numRef>
          </xVal>
          <yVal>
            <numRef>
              <f>'grafikler'!$C$155</f>
            </numRef>
          </yVal>
        </ser>
        <ser>
          <idx val="2"/>
          <order val="2"/>
          <tx>
            <strRef>
              <f>'grafikler'!D154</f>
            </strRef>
          </tx>
          <spPr>
            <a:ln w="19050">
              <a:solidFill>
                <a:srgbClr val="59A14F"/>
              </a:solidFill>
              <a:prstDash val="solid"/>
            </a:ln>
          </spPr>
          <marker>
            <symbol val="diamond"/>
            <size val="7"/>
            <spPr>
              <a:solidFill>
                <a:srgbClr val="FFFFFF"/>
              </a:solidFill>
              <a:ln>
                <a:solidFill>
                  <a:srgbClr val="59A14F"/>
                </a:solidFill>
                <a:prstDash val="solid"/>
              </a:ln>
            </spPr>
          </marker>
          <xVal>
            <numRef>
              <f>'grafikler'!$A$155</f>
            </numRef>
          </xVal>
          <yVal>
            <numRef>
              <f>'grafikler'!$D$155</f>
            </numRef>
          </yVal>
        </ser>
        <ser>
          <idx val="3"/>
          <order val="3"/>
          <tx>
            <strRef>
              <f>'grafikler'!E154</f>
            </strRef>
          </tx>
          <spPr>
            <a:ln w="19050">
              <a:solidFill>
                <a:srgbClr val="E15759"/>
              </a:solidFill>
              <a:prstDash val="solid"/>
            </a:ln>
          </spPr>
          <marker>
            <symbol val="square"/>
            <size val="7"/>
            <spPr>
              <a:solidFill>
                <a:srgbClr val="FFFFFF"/>
              </a:solidFill>
              <a:ln>
                <a:solidFill>
                  <a:srgbClr val="E15759"/>
                </a:solidFill>
                <a:prstDash val="solid"/>
              </a:ln>
            </spPr>
          </marker>
          <xVal>
            <numRef>
              <f>'grafikler'!$A$155</f>
            </numRef>
          </xVal>
          <yVal>
            <numRef>
              <f>'grafikler'!$E$155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GSD (m)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Relative error (-)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10"/>
        <crosses val="min"/>
      </valAx>
    </plotArea>
    <legend>
      <legendPos val="r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Runtime vs GSD</a:t>
            </a:r>
          </a:p>
        </rich>
      </tx>
    </title>
    <plotArea>
      <scatterChart>
        <scatterStyle val="lineMarker"/>
        <varyColors val="0"/>
        <ser>
          <idx val="0"/>
          <order val="0"/>
          <tx>
            <strRef>
              <f>'grafikler'!B159</f>
            </strRef>
          </tx>
          <spPr>
            <a:ln w="19050">
              <a:solidFill>
                <a:srgbClr val="4E79A7"/>
              </a:solidFill>
              <a:prstDash val="solid"/>
            </a:ln>
          </spPr>
          <marker>
            <symbol val="circle"/>
            <size val="7"/>
            <spPr>
              <a:solidFill>
                <a:srgbClr val="FFFFFF"/>
              </a:solidFill>
              <a:ln>
                <a:solidFill>
                  <a:srgbClr val="4E79A7"/>
                </a:solidFill>
                <a:prstDash val="solid"/>
              </a:ln>
            </spPr>
          </marker>
          <xVal>
            <numRef>
              <f>'grafikler'!$A$160:$A$168</f>
            </numRef>
          </xVal>
          <yVal>
            <numRef>
              <f>'grafikler'!$B$160:$B$168</f>
            </numRef>
          </yVal>
        </ser>
        <ser>
          <idx val="1"/>
          <order val="1"/>
          <tx>
            <strRef>
              <f>'grafikler'!C159</f>
            </strRef>
          </tx>
          <spPr>
            <a:ln w="19050">
              <a:solidFill>
                <a:srgbClr val="F28E2B"/>
              </a:solidFill>
              <a:prstDash val="solid"/>
            </a:ln>
          </spPr>
          <marker>
            <symbol val="triangle"/>
            <size val="7"/>
            <spPr>
              <a:solidFill>
                <a:srgbClr val="FFFFFF"/>
              </a:solidFill>
              <a:ln>
                <a:solidFill>
                  <a:srgbClr val="F28E2B"/>
                </a:solidFill>
                <a:prstDash val="solid"/>
              </a:ln>
            </spPr>
          </marker>
          <xVal>
            <numRef>
              <f>'grafikler'!$A$160:$A$168</f>
            </numRef>
          </xVal>
          <yVal>
            <numRef>
              <f>'grafikler'!$C$160:$C$168</f>
            </numRef>
          </yVal>
        </ser>
        <ser>
          <idx val="2"/>
          <order val="2"/>
          <tx>
            <strRef>
              <f>'grafikler'!D159</f>
            </strRef>
          </tx>
          <spPr>
            <a:ln w="19050">
              <a:solidFill>
                <a:srgbClr val="59A14F"/>
              </a:solidFill>
              <a:prstDash val="solid"/>
            </a:ln>
          </spPr>
          <marker>
            <symbol val="diamond"/>
            <size val="7"/>
            <spPr>
              <a:solidFill>
                <a:srgbClr val="FFFFFF"/>
              </a:solidFill>
              <a:ln>
                <a:solidFill>
                  <a:srgbClr val="59A14F"/>
                </a:solidFill>
                <a:prstDash val="solid"/>
              </a:ln>
            </spPr>
          </marker>
          <xVal>
            <numRef>
              <f>'grafikler'!$A$160:$A$168</f>
            </numRef>
          </xVal>
          <yVal>
            <numRef>
              <f>'grafikler'!$D$160:$D$168</f>
            </numRef>
          </yVal>
        </ser>
        <ser>
          <idx val="3"/>
          <order val="3"/>
          <tx>
            <strRef>
              <f>'grafikler'!E159</f>
            </strRef>
          </tx>
          <spPr>
            <a:ln w="19050">
              <a:solidFill>
                <a:srgbClr val="E15759"/>
              </a:solidFill>
              <a:prstDash val="solid"/>
            </a:ln>
          </spPr>
          <marker>
            <symbol val="square"/>
            <size val="7"/>
            <spPr>
              <a:solidFill>
                <a:srgbClr val="FFFFFF"/>
              </a:solidFill>
              <a:ln>
                <a:solidFill>
                  <a:srgbClr val="E15759"/>
                </a:solidFill>
                <a:prstDash val="solid"/>
              </a:ln>
            </spPr>
          </marker>
          <xVal>
            <numRef>
              <f>'grafikler'!$A$160:$A$168</f>
            </numRef>
          </xVal>
          <yVal>
            <numRef>
              <f>'grafikler'!$E$160:$E$168</f>
            </numRef>
          </yVal>
        </ser>
        <axId val="10"/>
        <axId val="20"/>
      </scatterChart>
      <valAx>
        <axId val="10"/>
        <scaling>
          <logBase val="10"/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GSD (m)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Runtime (s)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10"/>
        <crosses val="min"/>
      </valAx>
    </plotArea>
    <legend>
      <legendPos val="r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Error vs Runtime</a:t>
            </a:r>
          </a:p>
        </rich>
      </tx>
    </title>
    <plotArea>
      <scatterChart>
        <scatterStyle val="lineMarker"/>
        <varyColors val="0"/>
        <ser>
          <idx val="0"/>
          <order val="0"/>
          <tx>
            <strRef>
              <f>'grafikler'!B172</f>
            </strRef>
          </tx>
          <spPr>
            <a:ln w="19050">
              <a:solidFill>
                <a:srgbClr val="4E79A7"/>
              </a:solidFill>
              <a:prstDash val="solid"/>
            </a:ln>
          </spPr>
          <marker>
            <symbol val="circle"/>
            <size val="7"/>
            <spPr>
              <a:solidFill>
                <a:srgbClr val="FFFFFF"/>
              </a:solidFill>
              <a:ln>
                <a:solidFill>
                  <a:srgbClr val="4E79A7"/>
                </a:solidFill>
                <a:prstDash val="solid"/>
              </a:ln>
            </spPr>
          </marker>
          <xVal>
            <numRef>
              <f>'grafikler'!$A$173</f>
            </numRef>
          </xVal>
          <yVal>
            <numRef>
              <f>'grafikler'!$B$173</f>
            </numRef>
          </yVal>
        </ser>
        <ser>
          <idx val="1"/>
          <order val="1"/>
          <tx>
            <strRef>
              <f>'grafikler'!D172</f>
            </strRef>
          </tx>
          <spPr>
            <a:ln w="19050">
              <a:solidFill>
                <a:srgbClr val="F28E2B"/>
              </a:solidFill>
              <a:prstDash val="solid"/>
            </a:ln>
          </spPr>
          <marker>
            <symbol val="triangle"/>
            <size val="7"/>
            <spPr>
              <a:solidFill>
                <a:srgbClr val="FFFFFF"/>
              </a:solidFill>
              <a:ln>
                <a:solidFill>
                  <a:srgbClr val="F28E2B"/>
                </a:solidFill>
                <a:prstDash val="solid"/>
              </a:ln>
            </spPr>
          </marker>
          <xVal>
            <numRef>
              <f>'grafikler'!$C$173</f>
            </numRef>
          </xVal>
          <yVal>
            <numRef>
              <f>'grafikler'!$D$173</f>
            </numRef>
          </yVal>
        </ser>
        <ser>
          <idx val="2"/>
          <order val="2"/>
          <tx>
            <strRef>
              <f>'grafikler'!F172</f>
            </strRef>
          </tx>
          <spPr>
            <a:ln w="19050">
              <a:solidFill>
                <a:srgbClr val="59A14F"/>
              </a:solidFill>
              <a:prstDash val="solid"/>
            </a:ln>
          </spPr>
          <marker>
            <symbol val="diamond"/>
            <size val="7"/>
            <spPr>
              <a:solidFill>
                <a:srgbClr val="FFFFFF"/>
              </a:solidFill>
              <a:ln>
                <a:solidFill>
                  <a:srgbClr val="59A14F"/>
                </a:solidFill>
                <a:prstDash val="solid"/>
              </a:ln>
            </spPr>
          </marker>
          <xVal>
            <numRef>
              <f>'grafikler'!$E$173</f>
            </numRef>
          </xVal>
          <yVal>
            <numRef>
              <f>'grafikler'!$F$173</f>
            </numRef>
          </yVal>
        </ser>
        <ser>
          <idx val="3"/>
          <order val="3"/>
          <tx>
            <strRef>
              <f>'grafikler'!H172</f>
            </strRef>
          </tx>
          <spPr>
            <a:ln w="19050">
              <a:solidFill>
                <a:srgbClr val="E15759"/>
              </a:solidFill>
              <a:prstDash val="solid"/>
            </a:ln>
          </spPr>
          <marker>
            <symbol val="square"/>
            <size val="7"/>
            <spPr>
              <a:solidFill>
                <a:srgbClr val="FFFFFF"/>
              </a:solidFill>
              <a:ln>
                <a:solidFill>
                  <a:srgbClr val="E15759"/>
                </a:solidFill>
                <a:prstDash val="solid"/>
              </a:ln>
            </spPr>
          </marker>
          <xVal>
            <numRef>
              <f>'grafikler'!$G$173</f>
            </numRef>
          </xVal>
          <yVal>
            <numRef>
              <f>'grafikler'!$H$173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Runtime (s)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20"/>
        <crosses val="min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|Relative error vs native-grid ref| (-)</a:t>
                </a:r>
              </a:p>
            </rich>
          </tx>
        </title>
        <numFmt formatCode="0.###" sourceLinked="0"/>
        <majorTickMark val="out"/>
        <minorTickMark val="none"/>
        <tickLblPos val="nextTo"/>
        <crossAx val="10"/>
        <crosses val="mi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7560000" cy="41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28</row>
      <rowOff>0</rowOff>
    </from>
    <ext cx="7560000" cy="41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51</row>
      <rowOff>0</rowOff>
    </from>
    <ext cx="7560000" cy="41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74</row>
      <rowOff>0</rowOff>
    </from>
    <ext cx="7560000" cy="41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97</row>
      <rowOff>0</rowOff>
    </from>
    <ext cx="7560000" cy="41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esultsLongTable" displayName="ResultsLongTable" ref="A1:S38" headerRowCount="1">
  <autoFilter ref="A1:S38"/>
  <tableColumns count="19">
    <tableColumn id="1" name="gsd_m"/>
    <tableColumn id="2" name="dx"/>
    <tableColumn id="3" name="dy"/>
    <tableColumn id="4" name="method"/>
    <tableColumn id="5" name="A2D"/>
    <tableColumn id="6" name="A3D"/>
    <tableColumn id="7" name="ratio"/>
    <tableColumn id="8" name="valid_cells"/>
    <tableColumn id="9" name="runtime_sec"/>
    <tableColumn id="10" name="resample_runtime_sec"/>
    <tableColumn id="11" name="note"/>
    <tableColumn id="12" name="synthetic_native_ref_A2D"/>
    <tableColumn id="13" name="synthetic_native_ref_A3D"/>
    <tableColumn id="14" name="synthetic_native_ref_ratio"/>
    <tableColumn id="15" name="A3D_synthetic_native_ref_diff"/>
    <tableColumn id="16" name="A3D_synthetic_native_ref_rel_err"/>
    <tableColumn id="17" name="sector_jenness_avg_level"/>
    <tableColumn id="18" name="sector_jenness_max_level_used"/>
    <tableColumn id="19" name="sector_jenness_refined_frac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sultsWideTable" displayName="ResultsWideTable" ref="A1:E10" headerRowCount="1">
  <autoFilter ref="A1:E10"/>
  <tableColumns count="5">
    <tableColumn id="1" name="gsd_m"/>
    <tableColumn id="2" name="gradient_multiplier_A3D"/>
    <tableColumn id="3" name="jenness_window_8tri_A3D"/>
    <tableColumn id="4" name="sector_adaptive_jenness_integral_A3D"/>
    <tableColumn id="5" name="tin_2tri_cell_A3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erenceSummaryTable" displayName="ReferenceSummaryTable" ref="A1:H2" headerRowCount="1">
  <autoFilter ref="A1:H2"/>
  <tableColumns count="8">
    <tableColumn id="1" name="reference_kind"/>
    <tableColumn id="2" name="gsd_m"/>
    <tableColumn id="3" name="dx"/>
    <tableColumn id="4" name="dy"/>
    <tableColumn id="5" name="reference_A2D"/>
    <tableColumn id="6" name="reference_A3D"/>
    <tableColumn id="7" name="reference_ratio"/>
    <tableColumn id="8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unInfoTable" displayName="RunInfoTable" ref="A1:B53" headerRowCount="1">
  <autoFilter ref="A1:B53"/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3D_vs_GSD___kaynak_veri_127" displayName="A3D_vs_GSD___kaynak_veri_127" ref="A128:F137" headerRowCount="1">
  <autoFilter ref="A128:F137"/>
  <tableColumns count="6">
    <tableColumn id="1" name="gsd_m"/>
    <tableColumn id="2" name="gradient_multiplier"/>
    <tableColumn id="3" name="jenness_window_8tri"/>
    <tableColumn id="4" name="sector_adaptive_jenness_integral"/>
    <tableColumn id="5" name="tin_2tri_cell"/>
    <tableColumn id="6" name="Native-grid reference (per GSD)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3D_A2D_Ratio_vs_GSD___kaynak_veri_140" displayName="A3D_A2D_Ratio_vs_GSD___kaynak_veri_140" ref="A141:F150" headerRowCount="1">
  <autoFilter ref="A141:F150"/>
  <tableColumns count="6">
    <tableColumn id="1" name="gsd_m"/>
    <tableColumn id="2" name="gradient_multiplier"/>
    <tableColumn id="3" name="jenness_window_8tri"/>
    <tableColumn id="4" name="sector_adaptive_jenness_integral"/>
    <tableColumn id="5" name="tin_2tri_cell"/>
    <tableColumn id="6" name="Native-grid reference (per GSD)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elative_Error_vs_GSD__Native_grid_Reference____kaynak_veri_153" displayName="Relative_Error_vs_GSD__Native_grid_Reference____kaynak_veri_153" ref="A154:E155" headerRowCount="1">
  <autoFilter ref="A154:E155"/>
  <tableColumns count="5">
    <tableColumn id="1" name="gsd_m"/>
    <tableColumn id="2" name="gradient_multiplier"/>
    <tableColumn id="3" name="jenness_window_8tri"/>
    <tableColumn id="4" name="sector_adaptive_jenness_integral"/>
    <tableColumn id="5" name="tin_2tri_cel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Runtime_vs_GSD___kaynak_veri_158" displayName="Runtime_vs_GSD___kaynak_veri_158" ref="A159:E168" headerRowCount="1">
  <autoFilter ref="A159:E168"/>
  <tableColumns count="5">
    <tableColumn id="1" name="gsd_m"/>
    <tableColumn id="2" name="gradient_multiplier"/>
    <tableColumn id="3" name="jenness_window_8tri"/>
    <tableColumn id="4" name="sector_adaptive_jenness_integral"/>
    <tableColumn id="5" name="tin_2tri_cel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Error_vs_Runtime___kaynak_veri_171" displayName="Error_vs_Runtime___kaynak_veri_171" ref="A172:H173" headerRowCount="1">
  <autoFilter ref="A172:H173"/>
  <tableColumns count="8">
    <tableColumn id="1" name="gradient_multiplier runtime (s)"/>
    <tableColumn id="2" name="gradient_multiplier"/>
    <tableColumn id="3" name="jenness_window_8tri runtime (s)"/>
    <tableColumn id="4" name="jenness_window_8tri"/>
    <tableColumn id="5" name="sector_adaptive_jenness_integral runtime (s)"/>
    <tableColumn id="6" name="sector_adaptive_jenness_integral"/>
    <tableColumn id="7" name="tin_2tri_cell runtime (s)"/>
    <tableColumn id="8" name="tin_2tri_cel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5.xml" Id="rId2" /><Relationship Type="http://schemas.openxmlformats.org/officeDocument/2006/relationships/table" Target="/xl/tables/table6.xml" Id="rId3" /><Relationship Type="http://schemas.openxmlformats.org/officeDocument/2006/relationships/table" Target="/xl/tables/table7.xml" Id="rId4" /><Relationship Type="http://schemas.openxmlformats.org/officeDocument/2006/relationships/table" Target="/xl/tables/table8.xml" Id="rId5" /><Relationship Type="http://schemas.openxmlformats.org/officeDocument/2006/relationships/table" Target="/xl/tables/table9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gsd_m</t>
        </is>
      </c>
      <c r="B1" t="inlineStr">
        <is>
          <t>dx</t>
        </is>
      </c>
      <c r="C1" t="inlineStr">
        <is>
          <t>dy</t>
        </is>
      </c>
      <c r="D1" t="inlineStr">
        <is>
          <t>method</t>
        </is>
      </c>
      <c r="E1" t="inlineStr">
        <is>
          <t>A2D</t>
        </is>
      </c>
      <c r="F1" t="inlineStr">
        <is>
          <t>A3D</t>
        </is>
      </c>
      <c r="G1" t="inlineStr">
        <is>
          <t>ratio</t>
        </is>
      </c>
      <c r="H1" t="inlineStr">
        <is>
          <t>valid_cells</t>
        </is>
      </c>
      <c r="I1" t="inlineStr">
        <is>
          <t>runtime_sec</t>
        </is>
      </c>
      <c r="J1" t="inlineStr">
        <is>
          <t>resample_runtime_sec</t>
        </is>
      </c>
      <c r="K1" t="inlineStr">
        <is>
          <t>note</t>
        </is>
      </c>
      <c r="L1" t="inlineStr">
        <is>
          <t>synthetic_native_ref_A2D</t>
        </is>
      </c>
      <c r="M1" t="inlineStr">
        <is>
          <t>synthetic_native_ref_A3D</t>
        </is>
      </c>
      <c r="N1" t="inlineStr">
        <is>
          <t>synthetic_native_ref_ratio</t>
        </is>
      </c>
      <c r="O1" t="inlineStr">
        <is>
          <t>A3D_synthetic_native_ref_diff</t>
        </is>
      </c>
      <c r="P1" t="inlineStr">
        <is>
          <t>A3D_synthetic_native_ref_rel_err</t>
        </is>
      </c>
      <c r="Q1" t="inlineStr">
        <is>
          <t>sector_jenness_avg_level</t>
        </is>
      </c>
      <c r="R1" t="inlineStr">
        <is>
          <t>sector_jenness_max_level_used</t>
        </is>
      </c>
      <c r="S1" t="inlineStr">
        <is>
          <t>sector_jenness_refined_fraction</t>
        </is>
      </c>
    </row>
    <row r="2">
      <c r="A2" t="n">
        <v>0.05</v>
      </c>
      <c r="B2" t="n">
        <v>0.05</v>
      </c>
      <c r="C2" t="n">
        <v>0.05</v>
      </c>
      <c r="D2" t="inlineStr">
        <is>
          <t>gradient_multiplier</t>
        </is>
      </c>
      <c r="E2" t="n">
        <v>670924.8100000001</v>
      </c>
      <c r="F2" t="n">
        <v>867422.6777822512</v>
      </c>
      <c r="G2" t="n">
        <v>1.29287613880645</v>
      </c>
      <c r="H2" t="n">
        <v>268369924</v>
      </c>
      <c r="I2" t="n">
        <v>7.682050698262174</v>
      </c>
      <c r="J2" t="n">
        <v>0</v>
      </c>
      <c r="K2" t="inlineStr">
        <is>
          <t>resampling=native;dx=0.05;dy=0.05;slope_method=horn;runtime=compute_only</t>
        </is>
      </c>
      <c r="L2" t="n">
        <v>671006.7225000001</v>
      </c>
      <c r="M2" t="n">
        <v>867833.3592480146</v>
      </c>
      <c r="N2" t="n">
        <v>1.293330349977253</v>
      </c>
      <c r="O2" t="n">
        <v>-410.6814657634823</v>
      </c>
      <c r="P2" t="n">
        <v>-0.0004732261803341386</v>
      </c>
      <c r="Q2" t="inlineStr"/>
      <c r="R2" t="inlineStr"/>
      <c r="S2" t="inlineStr"/>
    </row>
    <row r="3">
      <c r="A3" t="n">
        <v>0.05</v>
      </c>
      <c r="B3" t="n">
        <v>0.05</v>
      </c>
      <c r="C3" t="n">
        <v>0.05</v>
      </c>
      <c r="D3" t="inlineStr">
        <is>
          <t>jenness_window_8tri</t>
        </is>
      </c>
      <c r="E3" t="n">
        <v>670924.8100000001</v>
      </c>
      <c r="F3" t="n">
        <v>867728.2820191436</v>
      </c>
      <c r="G3" t="n">
        <v>1.29333163580453</v>
      </c>
      <c r="H3" t="n">
        <v>268369924</v>
      </c>
      <c r="I3" t="n">
        <v>65.78858370281523</v>
      </c>
      <c r="J3" t="n">
        <v>0</v>
      </c>
      <c r="K3" t="inlineStr">
        <is>
          <t>resampling=native;dx=0.05;dy=0.05;weight=0.25;triangle=heron;runtime=compute_only</t>
        </is>
      </c>
      <c r="L3" t="n">
        <v>671006.7225000001</v>
      </c>
      <c r="M3" t="n">
        <v>867833.3592480146</v>
      </c>
      <c r="N3" t="n">
        <v>1.293330349977253</v>
      </c>
      <c r="O3" t="n">
        <v>-105.0772288710577</v>
      </c>
      <c r="P3" t="n">
        <v>-0.0001210799605146639</v>
      </c>
      <c r="Q3" t="inlineStr"/>
      <c r="R3" t="inlineStr"/>
      <c r="S3" t="inlineStr"/>
    </row>
    <row r="4">
      <c r="A4" t="n">
        <v>0.05</v>
      </c>
      <c r="B4" t="n">
        <v>0.05</v>
      </c>
      <c r="C4" t="n">
        <v>0.05</v>
      </c>
      <c r="D4" t="inlineStr">
        <is>
          <t>sector_adaptive_jenness_integral</t>
        </is>
      </c>
      <c r="E4" t="n">
        <v>670924.8100000001</v>
      </c>
      <c r="F4" t="n">
        <v>867463.5367554596</v>
      </c>
      <c r="G4" t="n">
        <v>1.29293703828818</v>
      </c>
      <c r="H4" t="n">
        <v>268369924</v>
      </c>
      <c r="I4" t="n">
        <v>2081.548187398526</v>
      </c>
      <c r="J4" t="n">
        <v>0</v>
      </c>
      <c r="K4" t="inlineStr">
        <is>
          <t>resampling=native;dx=0.05;dy=0.05;surface=quadratic_ls_3x3;partition=8_sector_cell;min_samples=3;rel_tol=0.0001;abs_tol=0;max_level=5;runtime=compute_only</t>
        </is>
      </c>
      <c r="L4" t="n">
        <v>671006.7225000001</v>
      </c>
      <c r="M4" t="n">
        <v>867833.3592480146</v>
      </c>
      <c r="N4" t="n">
        <v>1.293330349977253</v>
      </c>
      <c r="O4" t="n">
        <v>-369.8224925550167</v>
      </c>
      <c r="P4" t="n">
        <v>-0.0004261445917168604</v>
      </c>
      <c r="Q4" t="n">
        <v>0.9999999329284007</v>
      </c>
      <c r="R4" t="n">
        <v>1</v>
      </c>
      <c r="S4" t="n">
        <v>0.9999999329284007</v>
      </c>
    </row>
    <row r="5">
      <c r="A5" t="n">
        <v>0.05</v>
      </c>
      <c r="B5" t="n">
        <v>0.05</v>
      </c>
      <c r="C5" t="n">
        <v>0.05</v>
      </c>
      <c r="D5" t="inlineStr">
        <is>
          <t>tin_2tri_cell</t>
        </is>
      </c>
      <c r="E5" t="n">
        <v>670924.8100000001</v>
      </c>
      <c r="F5" t="n">
        <v>867483.6338276509</v>
      </c>
      <c r="G5" t="n">
        <v>1.292966992572015</v>
      </c>
      <c r="H5" t="n">
        <v>268369924</v>
      </c>
      <c r="I5" t="n">
        <v>15.69642789848149</v>
      </c>
      <c r="J5" t="n">
        <v>0</v>
      </c>
      <c r="K5" t="inlineStr">
        <is>
          <t>resampling=native;dx=0.05;dy=0.05;triangles=2;runtime=compute_only</t>
        </is>
      </c>
      <c r="L5" t="n">
        <v>671006.7225000001</v>
      </c>
      <c r="M5" t="n">
        <v>867833.3592480146</v>
      </c>
      <c r="N5" t="n">
        <v>1.293330349977253</v>
      </c>
      <c r="O5" t="n">
        <v>-349.7254203637131</v>
      </c>
      <c r="P5" t="n">
        <v>-0.0004029868368585799</v>
      </c>
      <c r="Q5" t="inlineStr"/>
      <c r="R5" t="inlineStr"/>
      <c r="S5" t="inlineStr"/>
    </row>
    <row r="6">
      <c r="A6" t="n">
        <v>0.05</v>
      </c>
      <c r="B6" t="n">
        <v>0.05</v>
      </c>
      <c r="C6" t="n">
        <v>0.05</v>
      </c>
      <c r="D6" t="inlineStr">
        <is>
          <t>native_grid_reference</t>
        </is>
      </c>
      <c r="E6" t="n">
        <v>671006.7225000001</v>
      </c>
      <c r="F6" t="n">
        <v>867833.3592480146</v>
      </c>
      <c r="G6" t="n">
        <v>1.293330349977253</v>
      </c>
      <c r="H6" t="inlineStr"/>
      <c r="I6" t="inlineStr"/>
      <c r="J6" t="inlineStr"/>
      <c r="K6" t="inlineStr">
        <is>
          <t>reference_row=native_grid_reference</t>
        </is>
      </c>
      <c r="L6" t="n">
        <v>671006.7225000001</v>
      </c>
      <c r="M6" t="n">
        <v>867833.3592480146</v>
      </c>
      <c r="N6" t="n">
        <v>1.293330349977253</v>
      </c>
      <c r="O6" t="n">
        <v>0</v>
      </c>
      <c r="P6" t="n">
        <v>0</v>
      </c>
      <c r="Q6" t="inlineStr"/>
      <c r="R6" t="inlineStr"/>
      <c r="S6" t="inlineStr"/>
    </row>
    <row r="7">
      <c r="A7" t="n">
        <v>0.1</v>
      </c>
      <c r="B7" t="n">
        <v>0.1</v>
      </c>
      <c r="C7" t="n">
        <v>0.1</v>
      </c>
      <c r="D7" t="inlineStr">
        <is>
          <t>gradient_multiplier</t>
        </is>
      </c>
      <c r="E7" t="n">
        <v>670761</v>
      </c>
      <c r="F7" t="n">
        <v>865394.9605927564</v>
      </c>
      <c r="G7" t="n">
        <v>1.290168868781513</v>
      </c>
      <c r="H7" t="n">
        <v>67076100</v>
      </c>
      <c r="I7" t="n">
        <v>2.076502800628077</v>
      </c>
      <c r="J7" t="n">
        <v>5.627892700023949</v>
      </c>
      <c r="K7" t="inlineStr">
        <is>
          <t>resampling=bilinear;dx=0.1;dy=0.1;slope_method=horn;runtime=compute_only</t>
        </is>
      </c>
      <c r="L7" t="inlineStr"/>
      <c r="M7" t="inlineStr"/>
      <c r="N7" t="inlineStr"/>
      <c r="O7" t="inlineStr"/>
      <c r="P7" t="inlineStr"/>
      <c r="Q7" t="inlineStr"/>
      <c r="R7" t="inlineStr"/>
      <c r="S7" t="inlineStr"/>
    </row>
    <row r="8">
      <c r="A8" t="n">
        <v>0.1</v>
      </c>
      <c r="B8" t="n">
        <v>0.1</v>
      </c>
      <c r="C8" t="n">
        <v>0.1</v>
      </c>
      <c r="D8" t="inlineStr">
        <is>
          <t>jenness_window_8tri</t>
        </is>
      </c>
      <c r="E8" t="n">
        <v>670761</v>
      </c>
      <c r="F8" t="n">
        <v>866603.4905840222</v>
      </c>
      <c r="G8" t="n">
        <v>1.291970598445679</v>
      </c>
      <c r="H8" t="n">
        <v>67076100</v>
      </c>
      <c r="I8" t="n">
        <v>16.38930120074656</v>
      </c>
      <c r="J8" t="n">
        <v>5.627892700023949</v>
      </c>
      <c r="K8" t="inlineStr">
        <is>
          <t>resampling=bilinear;dx=0.1;dy=0.1;weight=0.25;triangle=heron;runtime=compute_only</t>
        </is>
      </c>
      <c r="L8" t="inlineStr"/>
      <c r="M8" t="inlineStr"/>
      <c r="N8" t="inlineStr"/>
      <c r="O8" t="inlineStr"/>
      <c r="P8" t="inlineStr"/>
      <c r="Q8" t="inlineStr"/>
      <c r="R8" t="inlineStr"/>
      <c r="S8" t="inlineStr"/>
    </row>
    <row r="9">
      <c r="A9" t="n">
        <v>0.1</v>
      </c>
      <c r="B9" t="n">
        <v>0.1</v>
      </c>
      <c r="C9" t="n">
        <v>0.1</v>
      </c>
      <c r="D9" t="inlineStr">
        <is>
          <t>sector_adaptive_jenness_integral</t>
        </is>
      </c>
      <c r="E9" t="n">
        <v>670761</v>
      </c>
      <c r="F9" t="n">
        <v>865556.340333574</v>
      </c>
      <c r="G9" t="n">
        <v>1.290409460796877</v>
      </c>
      <c r="H9" t="n">
        <v>67076100</v>
      </c>
      <c r="I9" t="n">
        <v>546.0752359002945</v>
      </c>
      <c r="J9" t="n">
        <v>5.627892700023949</v>
      </c>
      <c r="K9" t="inlineStr">
        <is>
          <t>resampling=bilinear;dx=0.1;dy=0.1;surface=quadratic_ls_3x3;partition=8_sector_cell;min_samples=3;rel_tol=0.0001;abs_tol=0;max_level=5;runtime=compute_only</t>
        </is>
      </c>
      <c r="L9" t="inlineStr"/>
      <c r="M9" t="inlineStr"/>
      <c r="N9" t="inlineStr"/>
      <c r="O9" t="inlineStr"/>
      <c r="P9" t="inlineStr"/>
      <c r="Q9" t="n">
        <v>1</v>
      </c>
      <c r="R9" t="n">
        <v>1</v>
      </c>
      <c r="S9" t="n">
        <v>1</v>
      </c>
    </row>
    <row r="10">
      <c r="A10" t="n">
        <v>0.1</v>
      </c>
      <c r="B10" t="n">
        <v>0.1</v>
      </c>
      <c r="C10" t="n">
        <v>0.1</v>
      </c>
      <c r="D10" t="inlineStr">
        <is>
          <t>tin_2tri_cell</t>
        </is>
      </c>
      <c r="E10" t="n">
        <v>670761</v>
      </c>
      <c r="F10" t="n">
        <v>865635.5146151577</v>
      </c>
      <c r="G10" t="n">
        <v>1.29052749729808</v>
      </c>
      <c r="H10" t="n">
        <v>67076100</v>
      </c>
      <c r="I10" t="n">
        <v>4.142207900993526</v>
      </c>
      <c r="J10" t="n">
        <v>5.627892700023949</v>
      </c>
      <c r="K10" t="inlineStr">
        <is>
          <t>resampling=bilinear;dx=0.1;dy=0.1;triangles=2;runtime=compute_only</t>
        </is>
      </c>
      <c r="L10" t="inlineStr"/>
      <c r="M10" t="inlineStr"/>
      <c r="N10" t="inlineStr"/>
      <c r="O10" t="inlineStr"/>
      <c r="P10" t="inlineStr"/>
      <c r="Q10" t="inlineStr"/>
      <c r="R10" t="inlineStr"/>
      <c r="S10" t="inlineStr"/>
    </row>
    <row r="11">
      <c r="A11" t="n">
        <v>0.5</v>
      </c>
      <c r="B11" t="n">
        <v>0.5</v>
      </c>
      <c r="C11" t="n">
        <v>0.5</v>
      </c>
      <c r="D11" t="inlineStr">
        <is>
          <t>gradient_multiplier</t>
        </is>
      </c>
      <c r="E11" t="n">
        <v>669124</v>
      </c>
      <c r="F11" t="n">
        <v>821271.7591773695</v>
      </c>
      <c r="G11" t="n">
        <v>1.227383503173357</v>
      </c>
      <c r="H11" t="n">
        <v>2676496</v>
      </c>
      <c r="I11" t="n">
        <v>0.07275269983801991</v>
      </c>
      <c r="J11" t="n">
        <v>3.403379699971993</v>
      </c>
      <c r="K11" t="inlineStr">
        <is>
          <t>resampling=bilinear;dx=0.5;dy=0.5;slope_method=horn;runtime=compute_only</t>
        </is>
      </c>
      <c r="L11" t="inlineStr"/>
      <c r="M11" t="inlineStr"/>
      <c r="N11" t="inlineStr"/>
      <c r="O11" t="inlineStr"/>
      <c r="P11" t="inlineStr"/>
      <c r="Q11" t="inlineStr"/>
      <c r="R11" t="inlineStr"/>
      <c r="S11" t="inlineStr"/>
    </row>
    <row r="12">
      <c r="A12" t="n">
        <v>0.5</v>
      </c>
      <c r="B12" t="n">
        <v>0.5</v>
      </c>
      <c r="C12" t="n">
        <v>0.5</v>
      </c>
      <c r="D12" t="inlineStr">
        <is>
          <t>jenness_window_8tri</t>
        </is>
      </c>
      <c r="E12" t="n">
        <v>669124</v>
      </c>
      <c r="F12" t="n">
        <v>844716.5965149167</v>
      </c>
      <c r="G12" t="n">
        <v>1.262421608722623</v>
      </c>
      <c r="H12" t="n">
        <v>2676496</v>
      </c>
      <c r="I12" t="n">
        <v>0.4674302999046631</v>
      </c>
      <c r="J12" t="n">
        <v>3.403379699971993</v>
      </c>
      <c r="K12" t="inlineStr">
        <is>
          <t>resampling=bilinear;dx=0.5;dy=0.5;weight=0.25;triangle=heron;runtime=compute_only</t>
        </is>
      </c>
      <c r="L12" t="inlineStr"/>
      <c r="M12" t="inlineStr"/>
      <c r="N12" t="inlineStr"/>
      <c r="O12" t="inlineStr"/>
      <c r="P12" t="inlineStr"/>
      <c r="Q12" t="inlineStr"/>
      <c r="R12" t="inlineStr"/>
      <c r="S12" t="inlineStr"/>
    </row>
    <row r="13">
      <c r="A13" t="n">
        <v>0.5</v>
      </c>
      <c r="B13" t="n">
        <v>0.5</v>
      </c>
      <c r="C13" t="n">
        <v>0.5</v>
      </c>
      <c r="D13" t="inlineStr">
        <is>
          <t>sector_adaptive_jenness_integral</t>
        </is>
      </c>
      <c r="E13" t="n">
        <v>669124</v>
      </c>
      <c r="F13" t="n">
        <v>824441.9861349808</v>
      </c>
      <c r="G13" t="n">
        <v>1.232121379796541</v>
      </c>
      <c r="H13" t="n">
        <v>2676496</v>
      </c>
      <c r="I13" t="n">
        <v>20.41015920002246</v>
      </c>
      <c r="J13" t="n">
        <v>3.403379699971993</v>
      </c>
      <c r="K13" t="inlineStr">
        <is>
          <t>resampling=bilinear;dx=0.5;dy=0.5;surface=quadratic_ls_3x3;partition=8_sector_cell;min_samples=3;rel_tol=0.0001;abs_tol=0;max_level=5;runtime=compute_only</t>
        </is>
      </c>
      <c r="L13" t="inlineStr"/>
      <c r="M13" t="inlineStr"/>
      <c r="N13" t="inlineStr"/>
      <c r="O13" t="inlineStr"/>
      <c r="P13" t="inlineStr"/>
      <c r="Q13" t="n">
        <v>1.000320194762107</v>
      </c>
      <c r="R13" t="n">
        <v>2</v>
      </c>
      <c r="S13" t="n">
        <v>1</v>
      </c>
    </row>
    <row r="14">
      <c r="A14" t="n">
        <v>0.5</v>
      </c>
      <c r="B14" t="n">
        <v>0.5</v>
      </c>
      <c r="C14" t="n">
        <v>0.5</v>
      </c>
      <c r="D14" t="inlineStr">
        <is>
          <t>tin_2tri_cell</t>
        </is>
      </c>
      <c r="E14" t="n">
        <v>669124</v>
      </c>
      <c r="F14" t="n">
        <v>825491.5320733978</v>
      </c>
      <c r="G14" t="n">
        <v>1.233689917075755</v>
      </c>
      <c r="H14" t="n">
        <v>2676496</v>
      </c>
      <c r="I14" t="n">
        <v>0.1374688994837925</v>
      </c>
      <c r="J14" t="n">
        <v>3.403379699971993</v>
      </c>
      <c r="K14" t="inlineStr">
        <is>
          <t>resampling=bilinear;dx=0.5;dy=0.5;triangles=2;runtime=compute_only</t>
        </is>
      </c>
      <c r="L14" t="inlineStr"/>
      <c r="M14" t="inlineStr"/>
      <c r="N14" t="inlineStr"/>
      <c r="O14" t="inlineStr"/>
      <c r="P14" t="inlineStr"/>
      <c r="Q14" t="inlineStr"/>
      <c r="R14" t="inlineStr"/>
      <c r="S14" t="inlineStr"/>
    </row>
    <row r="15">
      <c r="A15" t="n">
        <v>1</v>
      </c>
      <c r="B15" t="n">
        <v>1</v>
      </c>
      <c r="C15" t="n">
        <v>1</v>
      </c>
      <c r="D15" t="inlineStr">
        <is>
          <t>gradient_multiplier</t>
        </is>
      </c>
      <c r="E15" t="n">
        <v>667489</v>
      </c>
      <c r="F15" t="n">
        <v>749354.3278026374</v>
      </c>
      <c r="G15" t="n">
        <v>1.122646706990883</v>
      </c>
      <c r="H15" t="n">
        <v>667489</v>
      </c>
      <c r="I15" t="n">
        <v>0.01495390007039532</v>
      </c>
      <c r="J15" t="n">
        <v>3.405729599995539</v>
      </c>
      <c r="K15" t="inlineStr">
        <is>
          <t>resampling=bilinear;dx=1;dy=1;slope_method=horn;runtime=compute_only</t>
        </is>
      </c>
      <c r="L15" t="inlineStr"/>
      <c r="M15" t="inlineStr"/>
      <c r="N15" t="inlineStr"/>
      <c r="O15" t="inlineStr"/>
      <c r="P15" t="inlineStr"/>
      <c r="Q15" t="inlineStr"/>
      <c r="R15" t="inlineStr"/>
      <c r="S15" t="inlineStr"/>
    </row>
    <row r="16">
      <c r="A16" t="n">
        <v>1</v>
      </c>
      <c r="B16" t="n">
        <v>1</v>
      </c>
      <c r="C16" t="n">
        <v>1</v>
      </c>
      <c r="D16" t="inlineStr">
        <is>
          <t>jenness_window_8tri</t>
        </is>
      </c>
      <c r="E16" t="n">
        <v>667489</v>
      </c>
      <c r="F16" t="n">
        <v>797082.4788724037</v>
      </c>
      <c r="G16" t="n">
        <v>1.194150733378983</v>
      </c>
      <c r="H16" t="n">
        <v>667489</v>
      </c>
      <c r="I16" t="n">
        <v>0.09982170007424429</v>
      </c>
      <c r="J16" t="n">
        <v>3.405729599995539</v>
      </c>
      <c r="K16" t="inlineStr">
        <is>
          <t>resampling=bilinear;dx=1;dy=1;weight=0.25;triangle=heron;runtime=compute_only</t>
        </is>
      </c>
      <c r="L16" t="inlineStr"/>
      <c r="M16" t="inlineStr"/>
      <c r="N16" t="inlineStr"/>
      <c r="O16" t="inlineStr"/>
      <c r="P16" t="inlineStr"/>
      <c r="Q16" t="inlineStr"/>
      <c r="R16" t="inlineStr"/>
      <c r="S16" t="inlineStr"/>
    </row>
    <row r="17">
      <c r="A17" t="n">
        <v>1</v>
      </c>
      <c r="B17" t="n">
        <v>1</v>
      </c>
      <c r="C17" t="n">
        <v>1</v>
      </c>
      <c r="D17" t="inlineStr">
        <is>
          <t>sector_adaptive_jenness_integral</t>
        </is>
      </c>
      <c r="E17" t="n">
        <v>667489</v>
      </c>
      <c r="F17" t="n">
        <v>755910.4055846768</v>
      </c>
      <c r="G17" t="n">
        <v>1.132468708225419</v>
      </c>
      <c r="H17" t="n">
        <v>667489</v>
      </c>
      <c r="I17" t="n">
        <v>6.364683800027706</v>
      </c>
      <c r="J17" t="n">
        <v>3.405729599995539</v>
      </c>
      <c r="K17" t="inlineStr">
        <is>
          <t>resampling=bilinear;dx=1;dy=1;surface=quadratic_ls_3x3;partition=8_sector_cell;min_samples=3;rel_tol=0.0001;abs_tol=0;max_level=5;runtime=compute_only</t>
        </is>
      </c>
      <c r="L17" t="inlineStr"/>
      <c r="M17" t="inlineStr"/>
      <c r="N17" t="inlineStr"/>
      <c r="O17" t="inlineStr"/>
      <c r="P17" t="inlineStr"/>
      <c r="Q17" t="n">
        <v>1.007176148221169</v>
      </c>
      <c r="R17" t="n">
        <v>2</v>
      </c>
      <c r="S17" t="n">
        <v>1</v>
      </c>
    </row>
    <row r="18">
      <c r="A18" t="n">
        <v>1</v>
      </c>
      <c r="B18" t="n">
        <v>1</v>
      </c>
      <c r="C18" t="n">
        <v>1</v>
      </c>
      <c r="D18" t="inlineStr">
        <is>
          <t>tin_2tri_cell</t>
        </is>
      </c>
      <c r="E18" t="n">
        <v>667489</v>
      </c>
      <c r="F18" t="n">
        <v>756036.7141654211</v>
      </c>
      <c r="G18" t="n">
        <v>1.132657937682001</v>
      </c>
      <c r="H18" t="n">
        <v>667489</v>
      </c>
      <c r="I18" t="n">
        <v>0.04436070012161508</v>
      </c>
      <c r="J18" t="n">
        <v>3.405729599995539</v>
      </c>
      <c r="K18" t="inlineStr">
        <is>
          <t>resampling=bilinear;dx=1;dy=1;triangles=2;runtime=compute_only</t>
        </is>
      </c>
      <c r="L18" t="inlineStr"/>
      <c r="M18" t="inlineStr"/>
      <c r="N18" t="inlineStr"/>
      <c r="O18" t="inlineStr"/>
      <c r="P18" t="inlineStr"/>
      <c r="Q18" t="inlineStr"/>
      <c r="R18" t="inlineStr"/>
      <c r="S18" t="inlineStr"/>
    </row>
    <row r="19">
      <c r="A19" t="n">
        <v>2</v>
      </c>
      <c r="B19" t="n">
        <v>2</v>
      </c>
      <c r="C19" t="n">
        <v>2</v>
      </c>
      <c r="D19" t="inlineStr">
        <is>
          <t>gradient_multiplier</t>
        </is>
      </c>
      <c r="E19" t="n">
        <v>665856</v>
      </c>
      <c r="F19" t="n">
        <v>686613.3653028569</v>
      </c>
      <c r="G19" t="n">
        <v>1.031173955484154</v>
      </c>
      <c r="H19" t="n">
        <v>166464</v>
      </c>
      <c r="I19" t="n">
        <v>0.002922300016507506</v>
      </c>
      <c r="J19" t="n">
        <v>3.382380300026853</v>
      </c>
      <c r="K19" t="inlineStr">
        <is>
          <t>resampling=bilinear;dx=2;dy=2;slope_method=horn;runtime=compute_only</t>
        </is>
      </c>
      <c r="L19" t="inlineStr"/>
      <c r="M19" t="inlineStr"/>
      <c r="N19" t="inlineStr"/>
      <c r="O19" t="inlineStr"/>
      <c r="P19" t="inlineStr"/>
      <c r="Q19" t="inlineStr"/>
      <c r="R19" t="inlineStr"/>
      <c r="S19" t="inlineStr"/>
    </row>
    <row r="20">
      <c r="A20" t="n">
        <v>2</v>
      </c>
      <c r="B20" t="n">
        <v>2</v>
      </c>
      <c r="C20" t="n">
        <v>2</v>
      </c>
      <c r="D20" t="inlineStr">
        <is>
          <t>jenness_window_8tri</t>
        </is>
      </c>
      <c r="E20" t="n">
        <v>665856</v>
      </c>
      <c r="F20" t="n">
        <v>719919.150540015</v>
      </c>
      <c r="G20" t="n">
        <v>1.0811934570538</v>
      </c>
      <c r="H20" t="n">
        <v>166464</v>
      </c>
      <c r="I20" t="n">
        <v>0.01857339992420748</v>
      </c>
      <c r="J20" t="n">
        <v>3.382380300026853</v>
      </c>
      <c r="K20" t="inlineStr">
        <is>
          <t>resampling=bilinear;dx=2;dy=2;weight=0.25;triangle=heron;runtime=compute_only</t>
        </is>
      </c>
      <c r="L20" t="inlineStr"/>
      <c r="M20" t="inlineStr"/>
      <c r="N20" t="inlineStr"/>
      <c r="O20" t="inlineStr"/>
      <c r="P20" t="inlineStr"/>
      <c r="Q20" t="inlineStr"/>
      <c r="R20" t="inlineStr"/>
      <c r="S20" t="inlineStr"/>
    </row>
    <row r="21">
      <c r="A21" t="n">
        <v>2</v>
      </c>
      <c r="B21" t="n">
        <v>2</v>
      </c>
      <c r="C21" t="n">
        <v>2</v>
      </c>
      <c r="D21" t="inlineStr">
        <is>
          <t>sector_adaptive_jenness_integral</t>
        </is>
      </c>
      <c r="E21" t="n">
        <v>665856</v>
      </c>
      <c r="F21" t="n">
        <v>691007.5050956833</v>
      </c>
      <c r="G21" t="n">
        <v>1.037773189842373</v>
      </c>
      <c r="H21" t="n">
        <v>166464</v>
      </c>
      <c r="I21" t="n">
        <v>0.7491928999661468</v>
      </c>
      <c r="J21" t="n">
        <v>3.382380300026853</v>
      </c>
      <c r="K21" t="inlineStr">
        <is>
          <t>resampling=bilinear;dx=2;dy=2;surface=quadratic_ls_3x3;partition=8_sector_cell;min_samples=3;rel_tol=0.0001;abs_tol=0;max_level=5;runtime=compute_only</t>
        </is>
      </c>
      <c r="L21" t="inlineStr"/>
      <c r="M21" t="inlineStr"/>
      <c r="N21" t="inlineStr"/>
      <c r="O21" t="inlineStr"/>
      <c r="P21" t="inlineStr"/>
      <c r="Q21" t="n">
        <v>1.000114138792772</v>
      </c>
      <c r="R21" t="n">
        <v>2</v>
      </c>
      <c r="S21" t="n">
        <v>1</v>
      </c>
    </row>
    <row r="22">
      <c r="A22" t="n">
        <v>2</v>
      </c>
      <c r="B22" t="n">
        <v>2</v>
      </c>
      <c r="C22" t="n">
        <v>2</v>
      </c>
      <c r="D22" t="inlineStr">
        <is>
          <t>tin_2tri_cell</t>
        </is>
      </c>
      <c r="E22" t="n">
        <v>665856</v>
      </c>
      <c r="F22" t="n">
        <v>689623.0326050647</v>
      </c>
      <c r="G22" t="n">
        <v>1.035693952754146</v>
      </c>
      <c r="H22" t="n">
        <v>166464</v>
      </c>
      <c r="I22" t="n">
        <v>0.005460299958940595</v>
      </c>
      <c r="J22" t="n">
        <v>3.382380300026853</v>
      </c>
      <c r="K22" t="inlineStr">
        <is>
          <t>resampling=bilinear;dx=2;dy=2;triangles=2;runtime=compute_only</t>
        </is>
      </c>
      <c r="L22" t="inlineStr"/>
      <c r="M22" t="inlineStr"/>
      <c r="N22" t="inlineStr"/>
      <c r="O22" t="inlineStr"/>
      <c r="P22" t="inlineStr"/>
      <c r="Q22" t="inlineStr"/>
      <c r="R22" t="inlineStr"/>
      <c r="S22" t="inlineStr"/>
    </row>
    <row r="23">
      <c r="A23" t="n">
        <v>5</v>
      </c>
      <c r="B23" t="n">
        <v>5</v>
      </c>
      <c r="C23" t="n">
        <v>5</v>
      </c>
      <c r="D23" t="inlineStr">
        <is>
          <t>gradient_multiplier</t>
        </is>
      </c>
      <c r="E23" t="n">
        <v>656100</v>
      </c>
      <c r="F23" t="n">
        <v>657733.2197689996</v>
      </c>
      <c r="G23" t="n">
        <v>1.002489284817863</v>
      </c>
      <c r="H23" t="n">
        <v>26244</v>
      </c>
      <c r="I23" t="n">
        <v>0.0002757999463938177</v>
      </c>
      <c r="J23" t="n">
        <v>3.487434400012717</v>
      </c>
      <c r="K23" t="inlineStr">
        <is>
          <t>resampling=bilinear;dx=5;dy=5;slope_method=horn;runtime=compute_only</t>
        </is>
      </c>
      <c r="L23" t="inlineStr"/>
      <c r="M23" t="inlineStr"/>
      <c r="N23" t="inlineStr"/>
      <c r="O23" t="inlineStr"/>
      <c r="P23" t="inlineStr"/>
      <c r="Q23" t="inlineStr"/>
      <c r="R23" t="inlineStr"/>
      <c r="S23" t="inlineStr"/>
    </row>
    <row r="24">
      <c r="A24" t="n">
        <v>5</v>
      </c>
      <c r="B24" t="n">
        <v>5</v>
      </c>
      <c r="C24" t="n">
        <v>5</v>
      </c>
      <c r="D24" t="inlineStr">
        <is>
          <t>jenness_window_8tri</t>
        </is>
      </c>
      <c r="E24" t="n">
        <v>656100</v>
      </c>
      <c r="F24" t="n">
        <v>661944.4351313565</v>
      </c>
      <c r="G24" t="n">
        <v>1.008907841992618</v>
      </c>
      <c r="H24" t="n">
        <v>26244</v>
      </c>
      <c r="I24" t="n">
        <v>0.003182000014930964</v>
      </c>
      <c r="J24" t="n">
        <v>3.487434400012717</v>
      </c>
      <c r="K24" t="inlineStr">
        <is>
          <t>resampling=bilinear;dx=5;dy=5;weight=0.25;triangle=heron;runtime=compute_only</t>
        </is>
      </c>
      <c r="L24" t="inlineStr"/>
      <c r="M24" t="inlineStr"/>
      <c r="N24" t="inlineStr"/>
      <c r="O24" t="inlineStr"/>
      <c r="P24" t="inlineStr"/>
      <c r="Q24" t="inlineStr"/>
      <c r="R24" t="inlineStr"/>
      <c r="S24" t="inlineStr"/>
    </row>
    <row r="25">
      <c r="A25" t="n">
        <v>5</v>
      </c>
      <c r="B25" t="n">
        <v>5</v>
      </c>
      <c r="C25" t="n">
        <v>5</v>
      </c>
      <c r="D25" t="inlineStr">
        <is>
          <t>sector_adaptive_jenness_integral</t>
        </is>
      </c>
      <c r="E25" t="n">
        <v>656100</v>
      </c>
      <c r="F25" t="n">
        <v>658247.712755017</v>
      </c>
      <c r="G25" t="n">
        <v>1.003273453368415</v>
      </c>
      <c r="H25" t="n">
        <v>26244</v>
      </c>
      <c r="I25" t="n">
        <v>0.0792984000290744</v>
      </c>
      <c r="J25" t="n">
        <v>3.487434400012717</v>
      </c>
      <c r="K25" t="inlineStr">
        <is>
          <t>resampling=bilinear;dx=5;dy=5;surface=quadratic_ls_3x3;partition=8_sector_cell;min_samples=3;rel_tol=0.0001;abs_tol=0;max_level=5;runtime=compute_only</t>
        </is>
      </c>
      <c r="L25" t="inlineStr"/>
      <c r="M25" t="inlineStr"/>
      <c r="N25" t="inlineStr"/>
      <c r="O25" t="inlineStr"/>
      <c r="P25" t="inlineStr"/>
      <c r="Q25" t="n">
        <v>1</v>
      </c>
      <c r="R25" t="n">
        <v>1</v>
      </c>
      <c r="S25" t="n">
        <v>1</v>
      </c>
    </row>
    <row r="26">
      <c r="A26" t="n">
        <v>5</v>
      </c>
      <c r="B26" t="n">
        <v>5</v>
      </c>
      <c r="C26" t="n">
        <v>5</v>
      </c>
      <c r="D26" t="inlineStr">
        <is>
          <t>tin_2tri_cell</t>
        </is>
      </c>
      <c r="E26" t="n">
        <v>656100</v>
      </c>
      <c r="F26" t="n">
        <v>658010.6566820367</v>
      </c>
      <c r="G26" t="n">
        <v>1.002912142481385</v>
      </c>
      <c r="H26" t="n">
        <v>26244</v>
      </c>
      <c r="I26" t="n">
        <v>0.0008853999897837639</v>
      </c>
      <c r="J26" t="n">
        <v>3.487434400012717</v>
      </c>
      <c r="K26" t="inlineStr">
        <is>
          <t>resampling=bilinear;dx=5;dy=5;triangles=2;runtime=compute_only</t>
        </is>
      </c>
      <c r="L26" t="inlineStr"/>
      <c r="M26" t="inlineStr"/>
      <c r="N26" t="inlineStr"/>
      <c r="O26" t="inlineStr"/>
      <c r="P26" t="inlineStr"/>
      <c r="Q26" t="inlineStr"/>
      <c r="R26" t="inlineStr"/>
      <c r="S26" t="inlineStr"/>
    </row>
    <row r="27">
      <c r="A27" t="n">
        <v>10</v>
      </c>
      <c r="B27" t="n">
        <v>10</v>
      </c>
      <c r="C27" t="n">
        <v>10</v>
      </c>
      <c r="D27" t="inlineStr">
        <is>
          <t>gradient_multiplier</t>
        </is>
      </c>
      <c r="E27" t="n">
        <v>640000</v>
      </c>
      <c r="F27" t="n">
        <v>640329.1529914456</v>
      </c>
      <c r="G27" t="n">
        <v>1.000514301549134</v>
      </c>
      <c r="H27" t="n">
        <v>6400</v>
      </c>
      <c r="I27" t="n">
        <v>0.000133700028527528</v>
      </c>
      <c r="J27" t="n">
        <v>3.567525999969803</v>
      </c>
      <c r="K27" t="inlineStr">
        <is>
          <t>resampling=bilinear;dx=10;dy=10;slope_method=horn;runtime=compute_only</t>
        </is>
      </c>
      <c r="L27" t="inlineStr"/>
      <c r="M27" t="inlineStr"/>
      <c r="N27" t="inlineStr"/>
      <c r="O27" t="inlineStr"/>
      <c r="P27" t="inlineStr"/>
      <c r="Q27" t="inlineStr"/>
      <c r="R27" t="inlineStr"/>
      <c r="S27" t="inlineStr"/>
    </row>
    <row r="28">
      <c r="A28" t="n">
        <v>10</v>
      </c>
      <c r="B28" t="n">
        <v>10</v>
      </c>
      <c r="C28" t="n">
        <v>10</v>
      </c>
      <c r="D28" t="inlineStr">
        <is>
          <t>jenness_window_8tri</t>
        </is>
      </c>
      <c r="E28" t="n">
        <v>640000</v>
      </c>
      <c r="F28" t="n">
        <v>640817.1944283339</v>
      </c>
      <c r="G28" t="n">
        <v>1.001276866294272</v>
      </c>
      <c r="H28" t="n">
        <v>6400</v>
      </c>
      <c r="I28" t="n">
        <v>0.0007483999943360686</v>
      </c>
      <c r="J28" t="n">
        <v>3.567525999969803</v>
      </c>
      <c r="K28" t="inlineStr">
        <is>
          <t>resampling=bilinear;dx=10;dy=10;weight=0.25;triangle=heron;runtime=compute_only</t>
        </is>
      </c>
      <c r="L28" t="inlineStr"/>
      <c r="M28" t="inlineStr"/>
      <c r="N28" t="inlineStr"/>
      <c r="O28" t="inlineStr"/>
      <c r="P28" t="inlineStr"/>
      <c r="Q28" t="inlineStr"/>
      <c r="R28" t="inlineStr"/>
      <c r="S28" t="inlineStr"/>
    </row>
    <row r="29">
      <c r="A29" t="n">
        <v>10</v>
      </c>
      <c r="B29" t="n">
        <v>10</v>
      </c>
      <c r="C29" t="n">
        <v>10</v>
      </c>
      <c r="D29" t="inlineStr">
        <is>
          <t>sector_adaptive_jenness_integral</t>
        </is>
      </c>
      <c r="E29" t="n">
        <v>640000</v>
      </c>
      <c r="F29" t="n">
        <v>640388.1109637896</v>
      </c>
      <c r="G29" t="n">
        <v>1.000606423380921</v>
      </c>
      <c r="H29" t="n">
        <v>6400</v>
      </c>
      <c r="I29" t="n">
        <v>0.02118450001580641</v>
      </c>
      <c r="J29" t="n">
        <v>3.567525999969803</v>
      </c>
      <c r="K29" t="inlineStr">
        <is>
          <t>resampling=bilinear;dx=10;dy=10;surface=quadratic_ls_3x3;partition=8_sector_cell;min_samples=3;rel_tol=0.0001;abs_tol=0;max_level=5;runtime=compute_only</t>
        </is>
      </c>
      <c r="L29" t="inlineStr"/>
      <c r="M29" t="inlineStr"/>
      <c r="N29" t="inlineStr"/>
      <c r="O29" t="inlineStr"/>
      <c r="P29" t="inlineStr"/>
      <c r="Q29" t="n">
        <v>1</v>
      </c>
      <c r="R29" t="n">
        <v>1</v>
      </c>
      <c r="S29" t="n">
        <v>1</v>
      </c>
    </row>
    <row r="30">
      <c r="A30" t="n">
        <v>10</v>
      </c>
      <c r="B30" t="n">
        <v>10</v>
      </c>
      <c r="C30" t="n">
        <v>10</v>
      </c>
      <c r="D30" t="inlineStr">
        <is>
          <t>tin_2tri_cell</t>
        </is>
      </c>
      <c r="E30" t="n">
        <v>640000</v>
      </c>
      <c r="F30" t="n">
        <v>640357.6132410578</v>
      </c>
      <c r="G30" t="n">
        <v>1.000558770689153</v>
      </c>
      <c r="H30" t="n">
        <v>6400</v>
      </c>
      <c r="I30" t="n">
        <v>0.000422900018747896</v>
      </c>
      <c r="J30" t="n">
        <v>3.567525999969803</v>
      </c>
      <c r="K30" t="inlineStr">
        <is>
          <t>resampling=bilinear;dx=10;dy=10;triangles=2;runtime=compute_only</t>
        </is>
      </c>
      <c r="L30" t="inlineStr"/>
      <c r="M30" t="inlineStr"/>
      <c r="N30" t="inlineStr"/>
      <c r="O30" t="inlineStr"/>
      <c r="P30" t="inlineStr"/>
      <c r="Q30" t="inlineStr"/>
      <c r="R30" t="inlineStr"/>
      <c r="S30" t="inlineStr"/>
    </row>
    <row r="31">
      <c r="A31" t="n">
        <v>20</v>
      </c>
      <c r="B31" t="n">
        <v>20</v>
      </c>
      <c r="C31" t="n">
        <v>20</v>
      </c>
      <c r="D31" t="inlineStr">
        <is>
          <t>gradient_multiplier</t>
        </is>
      </c>
      <c r="E31" t="n">
        <v>608400</v>
      </c>
      <c r="F31" t="n">
        <v>608598.046552428</v>
      </c>
      <c r="G31" t="n">
        <v>1.000325520303136</v>
      </c>
      <c r="H31" t="n">
        <v>1521</v>
      </c>
      <c r="I31" t="n">
        <v>6.940000457689166e-05</v>
      </c>
      <c r="J31" t="n">
        <v>3.73389649996534</v>
      </c>
      <c r="K31" t="inlineStr">
        <is>
          <t>resampling=bilinear;dx=20;dy=20;slope_method=horn;runtime=compute_only</t>
        </is>
      </c>
      <c r="L31" t="inlineStr"/>
      <c r="M31" t="inlineStr"/>
      <c r="N31" t="inlineStr"/>
      <c r="O31" t="inlineStr"/>
      <c r="P31" t="inlineStr"/>
      <c r="Q31" t="inlineStr"/>
      <c r="R31" t="inlineStr"/>
      <c r="S31" t="inlineStr"/>
    </row>
    <row r="32">
      <c r="A32" t="n">
        <v>20</v>
      </c>
      <c r="B32" t="n">
        <v>20</v>
      </c>
      <c r="C32" t="n">
        <v>20</v>
      </c>
      <c r="D32" t="inlineStr">
        <is>
          <t>jenness_window_8tri</t>
        </is>
      </c>
      <c r="E32" t="n">
        <v>608400</v>
      </c>
      <c r="F32" t="n">
        <v>608638.3360443891</v>
      </c>
      <c r="G32" t="n">
        <v>1.00039174234778</v>
      </c>
      <c r="H32" t="n">
        <v>1521</v>
      </c>
      <c r="I32" t="n">
        <v>0.0002442999975755811</v>
      </c>
      <c r="J32" t="n">
        <v>3.73389649996534</v>
      </c>
      <c r="K32" t="inlineStr">
        <is>
          <t>resampling=bilinear;dx=20;dy=20;weight=0.25;triangle=heron;runtime=compute_only</t>
        </is>
      </c>
      <c r="L32" t="inlineStr"/>
      <c r="M32" t="inlineStr"/>
      <c r="N32" t="inlineStr"/>
      <c r="O32" t="inlineStr"/>
      <c r="P32" t="inlineStr"/>
      <c r="Q32" t="inlineStr"/>
      <c r="R32" t="inlineStr"/>
      <c r="S32" t="inlineStr"/>
    </row>
    <row r="33">
      <c r="A33" t="n">
        <v>20</v>
      </c>
      <c r="B33" t="n">
        <v>20</v>
      </c>
      <c r="C33" t="n">
        <v>20</v>
      </c>
      <c r="D33" t="inlineStr">
        <is>
          <t>sector_adaptive_jenness_integral</t>
        </is>
      </c>
      <c r="E33" t="n">
        <v>608400</v>
      </c>
      <c r="F33" t="n">
        <v>608602.6634876439</v>
      </c>
      <c r="G33" t="n">
        <v>1.00033310895405</v>
      </c>
      <c r="H33" t="n">
        <v>1521</v>
      </c>
      <c r="I33" t="n">
        <v>0.006189999985508621</v>
      </c>
      <c r="J33" t="n">
        <v>3.73389649996534</v>
      </c>
      <c r="K33" t="inlineStr">
        <is>
          <t>resampling=bilinear;dx=20;dy=20;surface=quadratic_ls_3x3;partition=8_sector_cell;min_samples=3;rel_tol=0.0001;abs_tol=0;max_level=5;runtime=compute_only</t>
        </is>
      </c>
      <c r="L33" t="inlineStr"/>
      <c r="M33" t="inlineStr"/>
      <c r="N33" t="inlineStr"/>
      <c r="O33" t="inlineStr"/>
      <c r="P33" t="inlineStr"/>
      <c r="Q33" t="n">
        <v>1</v>
      </c>
      <c r="R33" t="n">
        <v>1</v>
      </c>
      <c r="S33" t="n">
        <v>1</v>
      </c>
    </row>
    <row r="34">
      <c r="A34" t="n">
        <v>20</v>
      </c>
      <c r="B34" t="n">
        <v>20</v>
      </c>
      <c r="C34" t="n">
        <v>20</v>
      </c>
      <c r="D34" t="inlineStr">
        <is>
          <t>tin_2tri_cell</t>
        </is>
      </c>
      <c r="E34" t="n">
        <v>608400</v>
      </c>
      <c r="F34" t="n">
        <v>608600.2677493941</v>
      </c>
      <c r="G34" t="n">
        <v>1.000329171185723</v>
      </c>
      <c r="H34" t="n">
        <v>1521</v>
      </c>
      <c r="I34" t="n">
        <v>0.0001839999458752573</v>
      </c>
      <c r="J34" t="n">
        <v>3.73389649996534</v>
      </c>
      <c r="K34" t="inlineStr">
        <is>
          <t>resampling=bilinear;dx=20;dy=20;triangles=2;runtime=compute_only</t>
        </is>
      </c>
      <c r="L34" t="inlineStr"/>
      <c r="M34" t="inlineStr"/>
      <c r="N34" t="inlineStr"/>
      <c r="O34" t="inlineStr"/>
      <c r="P34" t="inlineStr"/>
      <c r="Q34" t="inlineStr"/>
      <c r="R34" t="inlineStr"/>
      <c r="S34" t="inlineStr"/>
    </row>
    <row r="35">
      <c r="A35" t="n">
        <v>50</v>
      </c>
      <c r="B35" t="n">
        <v>50</v>
      </c>
      <c r="C35" t="n">
        <v>50</v>
      </c>
      <c r="D35" t="inlineStr">
        <is>
          <t>gradient_multiplier</t>
        </is>
      </c>
      <c r="E35" t="n">
        <v>490000</v>
      </c>
      <c r="F35" t="n">
        <v>490151.899679401</v>
      </c>
      <c r="G35" t="n">
        <v>1.000309999345716</v>
      </c>
      <c r="H35" t="n">
        <v>196</v>
      </c>
      <c r="I35" t="n">
        <v>5.339999916031957e-05</v>
      </c>
      <c r="J35" t="n">
        <v>5.181329400045797</v>
      </c>
      <c r="K35" t="inlineStr">
        <is>
          <t>resampling=bilinear;dx=50;dy=50;slope_method=horn;runtime=compute_only</t>
        </is>
      </c>
      <c r="L35" t="inlineStr"/>
      <c r="M35" t="inlineStr"/>
      <c r="N35" t="inlineStr"/>
      <c r="O35" t="inlineStr"/>
      <c r="P35" t="inlineStr"/>
      <c r="Q35" t="inlineStr"/>
      <c r="R35" t="inlineStr"/>
      <c r="S35" t="inlineStr"/>
    </row>
    <row r="36">
      <c r="A36" t="n">
        <v>50</v>
      </c>
      <c r="B36" t="n">
        <v>50</v>
      </c>
      <c r="C36" t="n">
        <v>50</v>
      </c>
      <c r="D36" t="inlineStr">
        <is>
          <t>jenness_window_8tri</t>
        </is>
      </c>
      <c r="E36" t="n">
        <v>490000</v>
      </c>
      <c r="F36" t="n">
        <v>490153.0629972387</v>
      </c>
      <c r="G36" t="n">
        <v>1.000312373463752</v>
      </c>
      <c r="H36" t="n">
        <v>196</v>
      </c>
      <c r="I36" t="n">
        <v>0.0001169999595731497</v>
      </c>
      <c r="J36" t="n">
        <v>5.181329400045797</v>
      </c>
      <c r="K36" t="inlineStr">
        <is>
          <t>resampling=bilinear;dx=50;dy=50;weight=0.25;triangle=heron;runtime=compute_only</t>
        </is>
      </c>
      <c r="L36" t="inlineStr"/>
      <c r="M36" t="inlineStr"/>
      <c r="N36" t="inlineStr"/>
      <c r="O36" t="inlineStr"/>
      <c r="P36" t="inlineStr"/>
      <c r="Q36" t="inlineStr"/>
      <c r="R36" t="inlineStr"/>
      <c r="S36" t="inlineStr"/>
    </row>
    <row r="37">
      <c r="A37" t="n">
        <v>50</v>
      </c>
      <c r="B37" t="n">
        <v>50</v>
      </c>
      <c r="C37" t="n">
        <v>50</v>
      </c>
      <c r="D37" t="inlineStr">
        <is>
          <t>sector_adaptive_jenness_integral</t>
        </is>
      </c>
      <c r="E37" t="n">
        <v>490000</v>
      </c>
      <c r="F37" t="n">
        <v>490152.0231375605</v>
      </c>
      <c r="G37" t="n">
        <v>1.000310251301144</v>
      </c>
      <c r="H37" t="n">
        <v>196</v>
      </c>
      <c r="I37" t="n">
        <v>0.002391399990301579</v>
      </c>
      <c r="J37" t="n">
        <v>5.181329400045797</v>
      </c>
      <c r="K37" t="inlineStr">
        <is>
          <t>resampling=bilinear;dx=50;dy=50;surface=quadratic_ls_3x3;partition=8_sector_cell;min_samples=3;rel_tol=0.0001;abs_tol=0;max_level=5;runtime=compute_only</t>
        </is>
      </c>
      <c r="L37" t="inlineStr"/>
      <c r="M37" t="inlineStr"/>
      <c r="N37" t="inlineStr"/>
      <c r="O37" t="inlineStr"/>
      <c r="P37" t="inlineStr"/>
      <c r="Q37" t="n">
        <v>1</v>
      </c>
      <c r="R37" t="n">
        <v>1</v>
      </c>
      <c r="S37" t="n">
        <v>1</v>
      </c>
    </row>
    <row r="38">
      <c r="A38" t="n">
        <v>50</v>
      </c>
      <c r="B38" t="n">
        <v>50</v>
      </c>
      <c r="C38" t="n">
        <v>50</v>
      </c>
      <c r="D38" t="inlineStr">
        <is>
          <t>tin_2tri_cell</t>
        </is>
      </c>
      <c r="E38" t="n">
        <v>490000</v>
      </c>
      <c r="F38" t="n">
        <v>490151.9617126948</v>
      </c>
      <c r="G38" t="n">
        <v>1.000310125944275</v>
      </c>
      <c r="H38" t="n">
        <v>196</v>
      </c>
      <c r="I38" t="n">
        <v>0.0001466000103391707</v>
      </c>
      <c r="J38" t="n">
        <v>5.181329400045797</v>
      </c>
      <c r="K38" t="inlineStr">
        <is>
          <t>resampling=bilinear;dx=50;dy=50;triangles=2;runtime=compute_only</t>
        </is>
      </c>
      <c r="L38" t="inlineStr"/>
      <c r="M38" t="inlineStr"/>
      <c r="N38" t="inlineStr"/>
      <c r="O38" t="inlineStr"/>
      <c r="P38" t="inlineStr"/>
      <c r="Q38" t="inlineStr"/>
      <c r="R38" t="inlineStr"/>
      <c r="S38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gsd_m</t>
        </is>
      </c>
      <c r="B1" t="inlineStr">
        <is>
          <t>gradient_multiplier_A3D</t>
        </is>
      </c>
      <c r="C1" t="inlineStr">
        <is>
          <t>jenness_window_8tri_A3D</t>
        </is>
      </c>
      <c r="D1" t="inlineStr">
        <is>
          <t>sector_adaptive_jenness_integral_A3D</t>
        </is>
      </c>
      <c r="E1" t="inlineStr">
        <is>
          <t>tin_2tri_cell_A3D</t>
        </is>
      </c>
    </row>
    <row r="2">
      <c r="A2" t="n">
        <v>0.05</v>
      </c>
      <c r="B2" t="n">
        <v>867422.6777822512</v>
      </c>
      <c r="C2" t="n">
        <v>867728.2820191436</v>
      </c>
      <c r="D2" t="n">
        <v>867463.5367554596</v>
      </c>
      <c r="E2" t="n">
        <v>867483.6338276509</v>
      </c>
    </row>
    <row r="3">
      <c r="A3" t="n">
        <v>0.1</v>
      </c>
      <c r="B3" t="n">
        <v>865394.9605927564</v>
      </c>
      <c r="C3" t="n">
        <v>866603.4905840222</v>
      </c>
      <c r="D3" t="n">
        <v>865556.340333574</v>
      </c>
      <c r="E3" t="n">
        <v>865635.5146151577</v>
      </c>
    </row>
    <row r="4">
      <c r="A4" t="n">
        <v>0.5</v>
      </c>
      <c r="B4" t="n">
        <v>821271.7591773695</v>
      </c>
      <c r="C4" t="n">
        <v>844716.5965149167</v>
      </c>
      <c r="D4" t="n">
        <v>824441.9861349808</v>
      </c>
      <c r="E4" t="n">
        <v>825491.5320733978</v>
      </c>
    </row>
    <row r="5">
      <c r="A5" t="n">
        <v>1</v>
      </c>
      <c r="B5" t="n">
        <v>749354.3278026374</v>
      </c>
      <c r="C5" t="n">
        <v>797082.4788724037</v>
      </c>
      <c r="D5" t="n">
        <v>755910.4055846768</v>
      </c>
      <c r="E5" t="n">
        <v>756036.7141654211</v>
      </c>
    </row>
    <row r="6">
      <c r="A6" t="n">
        <v>2</v>
      </c>
      <c r="B6" t="n">
        <v>686613.3653028569</v>
      </c>
      <c r="C6" t="n">
        <v>719919.150540015</v>
      </c>
      <c r="D6" t="n">
        <v>691007.5050956833</v>
      </c>
      <c r="E6" t="n">
        <v>689623.0326050647</v>
      </c>
    </row>
    <row r="7">
      <c r="A7" t="n">
        <v>5</v>
      </c>
      <c r="B7" t="n">
        <v>657733.2197689996</v>
      </c>
      <c r="C7" t="n">
        <v>661944.4351313565</v>
      </c>
      <c r="D7" t="n">
        <v>658247.712755017</v>
      </c>
      <c r="E7" t="n">
        <v>658010.6566820367</v>
      </c>
    </row>
    <row r="8">
      <c r="A8" t="n">
        <v>10</v>
      </c>
      <c r="B8" t="n">
        <v>640329.1529914456</v>
      </c>
      <c r="C8" t="n">
        <v>640817.1944283339</v>
      </c>
      <c r="D8" t="n">
        <v>640388.1109637896</v>
      </c>
      <c r="E8" t="n">
        <v>640357.6132410578</v>
      </c>
    </row>
    <row r="9">
      <c r="A9" t="n">
        <v>20</v>
      </c>
      <c r="B9" t="n">
        <v>608598.046552428</v>
      </c>
      <c r="C9" t="n">
        <v>608638.3360443891</v>
      </c>
      <c r="D9" t="n">
        <v>608602.6634876439</v>
      </c>
      <c r="E9" t="n">
        <v>608600.2677493941</v>
      </c>
    </row>
    <row r="10">
      <c r="A10" t="n">
        <v>50</v>
      </c>
      <c r="B10" t="n">
        <v>490151.899679401</v>
      </c>
      <c r="C10" t="n">
        <v>490153.0629972387</v>
      </c>
      <c r="D10" t="n">
        <v>490152.0231375605</v>
      </c>
      <c r="E10" t="n">
        <v>490151.9617126948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reference_kind</t>
        </is>
      </c>
      <c r="B1" t="inlineStr">
        <is>
          <t>gsd_m</t>
        </is>
      </c>
      <c r="C1" t="inlineStr">
        <is>
          <t>dx</t>
        </is>
      </c>
      <c r="D1" t="inlineStr">
        <is>
          <t>dy</t>
        </is>
      </c>
      <c r="E1" t="inlineStr">
        <is>
          <t>reference_A2D</t>
        </is>
      </c>
      <c r="F1" t="inlineStr">
        <is>
          <t>reference_A3D</t>
        </is>
      </c>
      <c r="G1" t="inlineStr">
        <is>
          <t>reference_ratio</t>
        </is>
      </c>
      <c r="H1" t="inlineStr">
        <is>
          <t>note</t>
        </is>
      </c>
    </row>
    <row r="2">
      <c r="A2" t="inlineStr">
        <is>
          <t>native_grid_reference</t>
        </is>
      </c>
      <c r="B2" t="n">
        <v>0.05</v>
      </c>
      <c r="C2" t="n">
        <v>0.05</v>
      </c>
      <c r="D2" t="n">
        <v>0.05</v>
      </c>
      <c r="E2" t="n">
        <v>671006.7225000001</v>
      </c>
      <c r="F2" t="n">
        <v>867833.3592480146</v>
      </c>
      <c r="G2" t="n">
        <v>1.293330349977253</v>
      </c>
      <c r="H2" t="inlineStr">
        <is>
          <t>Raster-grid reference evaluated on this GSD/grid.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timestamp_utc</t>
        </is>
      </c>
      <c r="B2" t="inlineStr">
        <is>
          <t>2026-03-17T08:11:14.494246+00:00</t>
        </is>
      </c>
    </row>
    <row r="3">
      <c r="A3" t="inlineStr">
        <is>
          <t>dem</t>
        </is>
      </c>
      <c r="B3" t="inlineStr">
        <is>
          <t>C:\d_surucusu\yuzey_alani_hesaplama\out_synth\synth_plane_16384x16384_dx0.05_seed0_20260315_213848.tif</t>
        </is>
      </c>
    </row>
    <row r="4">
      <c r="A4" t="inlineStr">
        <is>
          <t>dem_info.path</t>
        </is>
      </c>
      <c r="B4" t="inlineStr">
        <is>
          <t>C:\d_surucusu\yuzey_alani_hesaplama\out_synth\synth_plane_16384x16384_dx0.05_seed0_20260315_213848.tif</t>
        </is>
      </c>
    </row>
    <row r="5">
      <c r="A5" t="inlineStr">
        <is>
          <t>dem_info.crs</t>
        </is>
      </c>
      <c r="B5" t="inlineStr">
        <is>
          <t>EPSG:32636</t>
        </is>
      </c>
    </row>
    <row r="6">
      <c r="A6" t="inlineStr">
        <is>
          <t>dem_info.transform</t>
        </is>
      </c>
      <c r="B6" t="inlineStr">
        <is>
          <t>[0.05, 0.0, 500000.0, 0.0, -0.05, 4500000.0, 0.0, 0.0, 1.0]</t>
        </is>
      </c>
    </row>
    <row r="7">
      <c r="A7" t="inlineStr">
        <is>
          <t>dem_info.width</t>
        </is>
      </c>
      <c r="B7" t="n">
        <v>16384</v>
      </c>
    </row>
    <row r="8">
      <c r="A8" t="inlineStr">
        <is>
          <t>dem_info.height</t>
        </is>
      </c>
      <c r="B8" t="n">
        <v>16384</v>
      </c>
    </row>
    <row r="9">
      <c r="A9" t="inlineStr">
        <is>
          <t>dem_info.nodata</t>
        </is>
      </c>
      <c r="B9" t="n">
        <v>-9999</v>
      </c>
    </row>
    <row r="10">
      <c r="A10" t="inlineStr">
        <is>
          <t>dem_info.dtype</t>
        </is>
      </c>
      <c r="B10" t="inlineStr">
        <is>
          <t>float32</t>
        </is>
      </c>
    </row>
    <row r="11">
      <c r="A11" t="inlineStr">
        <is>
          <t>dem_info.dx</t>
        </is>
      </c>
      <c r="B11" t="n">
        <v>0.05</v>
      </c>
    </row>
    <row r="12">
      <c r="A12" t="inlineStr">
        <is>
          <t>dem_info.dy</t>
        </is>
      </c>
      <c r="B12" t="n">
        <v>0.05</v>
      </c>
    </row>
    <row r="13">
      <c r="A13" t="inlineStr">
        <is>
          <t>synthetic_reference.sidecar_path</t>
        </is>
      </c>
      <c r="B13" t="inlineStr">
        <is>
          <t>C:\d_surucusu\yuzey_alani_hesaplama\out_synth\synth_plane_16384x16384_dx0.05_seed0_20260315_213848.reference.json</t>
        </is>
      </c>
    </row>
    <row r="14">
      <c r="A14" t="inlineStr">
        <is>
          <t>synthetic_reference.terrain_family</t>
        </is>
      </c>
      <c r="B14" t="inlineStr">
        <is>
          <t>raster_first</t>
        </is>
      </c>
    </row>
    <row r="15">
      <c r="A15" t="inlineStr">
        <is>
          <t>synthetic_reference.has_continuous_ground_truth</t>
        </is>
      </c>
      <c r="B15" t="b">
        <v>0</v>
      </c>
    </row>
    <row r="16">
      <c r="A16" t="inlineStr">
        <is>
          <t>synthetic_reference.continuous_gt_is_gsd_independent</t>
        </is>
      </c>
      <c r="B16" t="b">
        <v>0</v>
      </c>
    </row>
    <row r="17">
      <c r="A17" t="inlineStr">
        <is>
          <t>synthetic_reference.continuous_gt_surface_area_m2</t>
        </is>
      </c>
      <c r="B17" t="inlineStr"/>
    </row>
    <row r="18">
      <c r="A18" t="inlineStr">
        <is>
          <t>synthetic_reference.continuous_gt_planar_area_m2</t>
        </is>
      </c>
      <c r="B18" t="inlineStr"/>
    </row>
    <row r="19">
      <c r="A19" t="inlineStr">
        <is>
          <t>synthetic_reference.native_reference_surface_area_m2</t>
        </is>
      </c>
      <c r="B19" t="n">
        <v>867833.3592480146</v>
      </c>
    </row>
    <row r="20">
      <c r="A20" t="inlineStr">
        <is>
          <t>synthetic_reference.resolution_count</t>
        </is>
      </c>
      <c r="B20" t="n">
        <v>1</v>
      </c>
    </row>
    <row r="21">
      <c r="A21" t="inlineStr">
        <is>
          <t>versions.python</t>
        </is>
      </c>
      <c r="B21" t="inlineStr">
        <is>
          <t>3.12.13 | packaged by conda-forge | (main, Mar  5 2026, 16:36:12) [MSC v.1944 64 bit (AMD64)]</t>
        </is>
      </c>
    </row>
    <row r="22">
      <c r="A22" t="inlineStr">
        <is>
          <t>versions.surface_area</t>
        </is>
      </c>
      <c r="B22" t="inlineStr">
        <is>
          <t>0.1.0</t>
        </is>
      </c>
    </row>
    <row r="23">
      <c r="A23" t="inlineStr">
        <is>
          <t>versions.numpy</t>
        </is>
      </c>
      <c r="B23" t="inlineStr">
        <is>
          <t>2.4.2</t>
        </is>
      </c>
    </row>
    <row r="24">
      <c r="A24" t="inlineStr">
        <is>
          <t>versions.rasterio</t>
        </is>
      </c>
      <c r="B24" t="inlineStr">
        <is>
          <t>1.5.0</t>
        </is>
      </c>
    </row>
    <row r="25">
      <c r="A25" t="inlineStr">
        <is>
          <t>versions.scipy</t>
        </is>
      </c>
      <c r="B25" t="inlineStr">
        <is>
          <t>1.17.1</t>
        </is>
      </c>
    </row>
    <row r="26">
      <c r="A26" t="inlineStr">
        <is>
          <t>versions.pandas</t>
        </is>
      </c>
      <c r="B26" t="inlineStr">
        <is>
          <t>3.0.1</t>
        </is>
      </c>
    </row>
    <row r="27">
      <c r="A27" t="inlineStr">
        <is>
          <t>versions.matplotlib</t>
        </is>
      </c>
      <c r="B27" t="inlineStr">
        <is>
          <t>3.10.8</t>
        </is>
      </c>
    </row>
    <row r="28">
      <c r="A28" t="inlineStr">
        <is>
          <t>params.gsd_specs</t>
        </is>
      </c>
      <c r="B28" t="inlineStr">
        <is>
          <t>["native", "0.1", "0.5", "1", "2", "5", "10", "20", "50"]</t>
        </is>
      </c>
    </row>
    <row r="29">
      <c r="A29" t="inlineStr">
        <is>
          <t>params.gsd_list</t>
        </is>
      </c>
      <c r="B29" t="inlineStr">
        <is>
          <t>[0.05, 0.1, 0.5, 1.0, 2.0, 5.0, 10.0, 20.0, 50.0]</t>
        </is>
      </c>
    </row>
    <row r="30">
      <c r="A30" t="inlineStr">
        <is>
          <t>params.methods</t>
        </is>
      </c>
      <c r="B30" t="inlineStr">
        <is>
          <t>["jenness_window_8tri", "sector_adaptive_jenness_integral", "tin_2tri_cell", "gradient_multiplier"]</t>
        </is>
      </c>
    </row>
    <row r="31">
      <c r="A31" t="inlineStr">
        <is>
          <t>params.resampling</t>
        </is>
      </c>
      <c r="B31" t="inlineStr">
        <is>
          <t>bilinear</t>
        </is>
      </c>
    </row>
    <row r="32">
      <c r="A32" t="inlineStr">
        <is>
          <t>params.nodata_override</t>
        </is>
      </c>
      <c r="B32" t="inlineStr"/>
    </row>
    <row r="33">
      <c r="A33" t="inlineStr">
        <is>
          <t>params.slope_method</t>
        </is>
      </c>
      <c r="B33" t="inlineStr">
        <is>
          <t>horn</t>
        </is>
      </c>
    </row>
    <row r="34">
      <c r="A34" t="inlineStr">
        <is>
          <t>params.jenness_weight</t>
        </is>
      </c>
      <c r="B34" t="n">
        <v>0.25</v>
      </c>
    </row>
    <row r="35">
      <c r="A35" t="inlineStr">
        <is>
          <t>params.integral_N</t>
        </is>
      </c>
      <c r="B35" t="n">
        <v>5</v>
      </c>
    </row>
    <row r="36">
      <c r="A36" t="inlineStr">
        <is>
          <t>params.adaptive_rel_tol</t>
        </is>
      </c>
      <c r="B36" t="n">
        <v>0.0001</v>
      </c>
    </row>
    <row r="37">
      <c r="A37" t="inlineStr">
        <is>
          <t>params.adaptive_abs_tol</t>
        </is>
      </c>
      <c r="B37" t="n">
        <v>0</v>
      </c>
    </row>
    <row r="38">
      <c r="A38" t="inlineStr">
        <is>
          <t>params.adaptive_max_level</t>
        </is>
      </c>
      <c r="B38" t="n">
        <v>5</v>
      </c>
    </row>
    <row r="39">
      <c r="A39" t="inlineStr">
        <is>
          <t>params.adaptive_min_N</t>
        </is>
      </c>
      <c r="B39" t="n">
        <v>2</v>
      </c>
    </row>
    <row r="40">
      <c r="A40" t="inlineStr">
        <is>
          <t>params.adaptive_roughness_fastpath</t>
        </is>
      </c>
      <c r="B40" t="b">
        <v>1</v>
      </c>
    </row>
    <row r="41">
      <c r="A41" t="inlineStr">
        <is>
          <t>params.adaptive_roughness_threshold</t>
        </is>
      </c>
      <c r="B41" t="inlineStr"/>
    </row>
    <row r="42">
      <c r="A42" t="inlineStr">
        <is>
          <t>params.sector_jenness_rel_tol</t>
        </is>
      </c>
      <c r="B42" t="n">
        <v>0.0001</v>
      </c>
    </row>
    <row r="43">
      <c r="A43" t="inlineStr">
        <is>
          <t>params.sector_jenness_abs_tol</t>
        </is>
      </c>
      <c r="B43" t="n">
        <v>0</v>
      </c>
    </row>
    <row r="44">
      <c r="A44" t="inlineStr">
        <is>
          <t>params.sector_jenness_max_level</t>
        </is>
      </c>
      <c r="B44" t="n">
        <v>5</v>
      </c>
    </row>
    <row r="45">
      <c r="A45" t="inlineStr">
        <is>
          <t>params.sector_jenness_min_samples</t>
        </is>
      </c>
      <c r="B45" t="n">
        <v>3</v>
      </c>
    </row>
    <row r="46">
      <c r="A46" t="inlineStr">
        <is>
          <t>params.sigma_mode</t>
        </is>
      </c>
      <c r="B46" t="inlineStr">
        <is>
          <t>mult</t>
        </is>
      </c>
    </row>
    <row r="47">
      <c r="A47" t="inlineStr">
        <is>
          <t>params.sigma_m_values</t>
        </is>
      </c>
      <c r="B47" t="inlineStr">
        <is>
          <t>[2.0, 5.0]</t>
        </is>
      </c>
    </row>
    <row r="48">
      <c r="A48" t="inlineStr">
        <is>
          <t>params.roi</t>
        </is>
      </c>
      <c r="B48" t="inlineStr"/>
    </row>
    <row r="49">
      <c r="A49" t="inlineStr">
        <is>
          <t>params.roi_id_field</t>
        </is>
      </c>
      <c r="B49" t="inlineStr"/>
    </row>
    <row r="50">
      <c r="A50" t="inlineStr">
        <is>
          <t>params.roi_mode</t>
        </is>
      </c>
      <c r="B50" t="inlineStr">
        <is>
          <t>mask</t>
        </is>
      </c>
    </row>
    <row r="51">
      <c r="A51" t="inlineStr">
        <is>
          <t>params.roi_all_touched</t>
        </is>
      </c>
      <c r="B51" t="b">
        <v>0</v>
      </c>
    </row>
    <row r="52">
      <c r="A52" t="inlineStr">
        <is>
          <t>params.roi_only</t>
        </is>
      </c>
      <c r="B52" t="b">
        <v>0</v>
      </c>
    </row>
    <row r="53">
      <c r="A53" t="inlineStr">
        <is>
          <t>params.workers</t>
        </is>
      </c>
      <c r="B53" t="n">
        <v>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73"/>
  <sheetViews>
    <sheetView showGridLines="1" showRowColHeaders="1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2" customWidth="1" min="4" max="4"/>
    <col width="47" customWidth="1" min="5" max="5"/>
    <col width="35" customWidth="1" min="6" max="6"/>
    <col width="28" customWidth="1" min="7" max="7"/>
    <col width="18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 ht="24" customHeight="1">
      <c r="A1" s="1" t="inlineStr">
        <is>
          <t>Grafikler</t>
        </is>
      </c>
    </row>
    <row r="2" ht="20" customHeight="1">
      <c r="A2" s="2" t="inlineStr">
        <is>
          <t>Excel chart nesneleri ile duzenlenebilir dashboard gorunumu</t>
        </is>
      </c>
    </row>
    <row r="3" ht="22" customHeight="1">
      <c r="A3" s="3" t="inlineStr">
        <is>
          <t>Kaynak tablolar asagidadadir. Seri, eksen ve stil ayarlarini Excel icinden degistirebilirsiniz.</t>
        </is>
      </c>
    </row>
    <row r="4" ht="36" customHeight="1">
      <c r="A4" s="3" t="inlineStr">
        <is>
          <t>Ipuclari: legend veya seri ustune tiklayip renk/kalinlik degistirebilir, eksenleri sag tikla bicimlendirebilirsiniz.</t>
        </is>
      </c>
    </row>
    <row r="127" ht="20" customHeight="1">
      <c r="A127" s="4" t="inlineStr">
        <is>
          <t>A3D vs GSD - kaynak veri</t>
        </is>
      </c>
    </row>
    <row r="128" ht="22" customHeight="1">
      <c r="A128" s="5" t="inlineStr">
        <is>
          <t>gsd_m</t>
        </is>
      </c>
      <c r="B128" s="5" t="inlineStr">
        <is>
          <t>gradient_multiplier</t>
        </is>
      </c>
      <c r="C128" s="5" t="inlineStr">
        <is>
          <t>jenness_window_8tri</t>
        </is>
      </c>
      <c r="D128" s="5" t="inlineStr">
        <is>
          <t>sector_adaptive_jenness_integral</t>
        </is>
      </c>
      <c r="E128" s="5" t="inlineStr">
        <is>
          <t>tin_2tri_cell</t>
        </is>
      </c>
      <c r="F128" s="5" t="inlineStr">
        <is>
          <t>Native-grid reference (per GSD)</t>
        </is>
      </c>
    </row>
    <row r="129">
      <c r="A129" s="6" t="n">
        <v>0.05</v>
      </c>
      <c r="B129" s="6" t="n">
        <v>867422.6777822512</v>
      </c>
      <c r="C129" s="6" t="n">
        <v>867728.2820191436</v>
      </c>
      <c r="D129" s="6" t="n">
        <v>867463.5367554596</v>
      </c>
      <c r="E129" s="6" t="n">
        <v>867483.6338276509</v>
      </c>
      <c r="F129" s="6" t="n">
        <v>867833.3592480146</v>
      </c>
    </row>
    <row r="130">
      <c r="A130" s="7" t="n">
        <v>0.1</v>
      </c>
      <c r="B130" s="7" t="n">
        <v>865394.9605927564</v>
      </c>
      <c r="C130" s="7" t="n">
        <v>866603.4905840222</v>
      </c>
      <c r="D130" s="7" t="n">
        <v>865556.340333574</v>
      </c>
      <c r="E130" s="7" t="n">
        <v>865635.5146151577</v>
      </c>
      <c r="F130" s="8" t="n"/>
    </row>
    <row r="131">
      <c r="A131" s="6" t="n">
        <v>0.5</v>
      </c>
      <c r="B131" s="6" t="n">
        <v>821271.7591773695</v>
      </c>
      <c r="C131" s="6" t="n">
        <v>844716.5965149167</v>
      </c>
      <c r="D131" s="6" t="n">
        <v>824441.9861349808</v>
      </c>
      <c r="E131" s="6" t="n">
        <v>825491.5320733978</v>
      </c>
      <c r="F131" s="9" t="n"/>
    </row>
    <row r="132">
      <c r="A132" s="7" t="n">
        <v>1</v>
      </c>
      <c r="B132" s="7" t="n">
        <v>749354.3278026374</v>
      </c>
      <c r="C132" s="7" t="n">
        <v>797082.4788724037</v>
      </c>
      <c r="D132" s="7" t="n">
        <v>755910.4055846768</v>
      </c>
      <c r="E132" s="7" t="n">
        <v>756036.7141654211</v>
      </c>
      <c r="F132" s="8" t="n"/>
    </row>
    <row r="133">
      <c r="A133" s="6" t="n">
        <v>2</v>
      </c>
      <c r="B133" s="6" t="n">
        <v>686613.3653028569</v>
      </c>
      <c r="C133" s="6" t="n">
        <v>719919.150540015</v>
      </c>
      <c r="D133" s="6" t="n">
        <v>691007.5050956833</v>
      </c>
      <c r="E133" s="6" t="n">
        <v>689623.0326050647</v>
      </c>
      <c r="F133" s="9" t="n"/>
    </row>
    <row r="134">
      <c r="A134" s="7" t="n">
        <v>5</v>
      </c>
      <c r="B134" s="7" t="n">
        <v>657733.2197689996</v>
      </c>
      <c r="C134" s="7" t="n">
        <v>661944.4351313565</v>
      </c>
      <c r="D134" s="7" t="n">
        <v>658247.712755017</v>
      </c>
      <c r="E134" s="7" t="n">
        <v>658010.6566820367</v>
      </c>
      <c r="F134" s="8" t="n"/>
    </row>
    <row r="135">
      <c r="A135" s="6" t="n">
        <v>10</v>
      </c>
      <c r="B135" s="6" t="n">
        <v>640329.1529914456</v>
      </c>
      <c r="C135" s="6" t="n">
        <v>640817.1944283339</v>
      </c>
      <c r="D135" s="6" t="n">
        <v>640388.1109637896</v>
      </c>
      <c r="E135" s="6" t="n">
        <v>640357.6132410578</v>
      </c>
      <c r="F135" s="9" t="n"/>
    </row>
    <row r="136">
      <c r="A136" s="7" t="n">
        <v>20</v>
      </c>
      <c r="B136" s="7" t="n">
        <v>608598.046552428</v>
      </c>
      <c r="C136" s="7" t="n">
        <v>608638.3360443891</v>
      </c>
      <c r="D136" s="7" t="n">
        <v>608602.6634876439</v>
      </c>
      <c r="E136" s="7" t="n">
        <v>608600.2677493941</v>
      </c>
      <c r="F136" s="8" t="n"/>
    </row>
    <row r="137">
      <c r="A137" s="6" t="n">
        <v>50</v>
      </c>
      <c r="B137" s="6" t="n">
        <v>490151.899679401</v>
      </c>
      <c r="C137" s="6" t="n">
        <v>490153.0629972387</v>
      </c>
      <c r="D137" s="6" t="n">
        <v>490152.0231375605</v>
      </c>
      <c r="E137" s="6" t="n">
        <v>490151.9617126948</v>
      </c>
      <c r="F137" s="9" t="n"/>
    </row>
    <row r="140" ht="20" customHeight="1">
      <c r="A140" s="4" t="inlineStr">
        <is>
          <t>A3D/A2D Ratio vs GSD - kaynak veri</t>
        </is>
      </c>
    </row>
    <row r="141" ht="22" customHeight="1">
      <c r="A141" s="5" t="inlineStr">
        <is>
          <t>gsd_m</t>
        </is>
      </c>
      <c r="B141" s="5" t="inlineStr">
        <is>
          <t>gradient_multiplier</t>
        </is>
      </c>
      <c r="C141" s="5" t="inlineStr">
        <is>
          <t>jenness_window_8tri</t>
        </is>
      </c>
      <c r="D141" s="5" t="inlineStr">
        <is>
          <t>sector_adaptive_jenness_integral</t>
        </is>
      </c>
      <c r="E141" s="5" t="inlineStr">
        <is>
          <t>tin_2tri_cell</t>
        </is>
      </c>
      <c r="F141" s="5" t="inlineStr">
        <is>
          <t>Native-grid reference (per GSD)</t>
        </is>
      </c>
    </row>
    <row r="142">
      <c r="A142" s="6" t="n">
        <v>0.05</v>
      </c>
      <c r="B142" s="6" t="n">
        <v>1.29287613880645</v>
      </c>
      <c r="C142" s="6" t="n">
        <v>1.29333163580453</v>
      </c>
      <c r="D142" s="6" t="n">
        <v>1.29293703828818</v>
      </c>
      <c r="E142" s="6" t="n">
        <v>1.292966992572015</v>
      </c>
      <c r="F142" s="6" t="n">
        <v>1.293330349977253</v>
      </c>
    </row>
    <row r="143">
      <c r="A143" s="7" t="n">
        <v>0.1</v>
      </c>
      <c r="B143" s="7" t="n">
        <v>1.290168868781513</v>
      </c>
      <c r="C143" s="7" t="n">
        <v>1.291970598445679</v>
      </c>
      <c r="D143" s="7" t="n">
        <v>1.290409460796877</v>
      </c>
      <c r="E143" s="7" t="n">
        <v>1.29052749729808</v>
      </c>
      <c r="F143" s="8" t="n"/>
    </row>
    <row r="144">
      <c r="A144" s="6" t="n">
        <v>0.5</v>
      </c>
      <c r="B144" s="6" t="n">
        <v>1.227383503173357</v>
      </c>
      <c r="C144" s="6" t="n">
        <v>1.262421608722623</v>
      </c>
      <c r="D144" s="6" t="n">
        <v>1.232121379796541</v>
      </c>
      <c r="E144" s="6" t="n">
        <v>1.233689917075755</v>
      </c>
      <c r="F144" s="9" t="n"/>
    </row>
    <row r="145">
      <c r="A145" s="7" t="n">
        <v>1</v>
      </c>
      <c r="B145" s="7" t="n">
        <v>1.122646706990883</v>
      </c>
      <c r="C145" s="7" t="n">
        <v>1.194150733378983</v>
      </c>
      <c r="D145" s="7" t="n">
        <v>1.132468708225419</v>
      </c>
      <c r="E145" s="7" t="n">
        <v>1.132657937682001</v>
      </c>
      <c r="F145" s="8" t="n"/>
    </row>
    <row r="146">
      <c r="A146" s="6" t="n">
        <v>2</v>
      </c>
      <c r="B146" s="6" t="n">
        <v>1.031173955484154</v>
      </c>
      <c r="C146" s="6" t="n">
        <v>1.0811934570538</v>
      </c>
      <c r="D146" s="6" t="n">
        <v>1.037773189842373</v>
      </c>
      <c r="E146" s="6" t="n">
        <v>1.035693952754146</v>
      </c>
      <c r="F146" s="9" t="n"/>
    </row>
    <row r="147">
      <c r="A147" s="7" t="n">
        <v>5</v>
      </c>
      <c r="B147" s="7" t="n">
        <v>1.002489284817863</v>
      </c>
      <c r="C147" s="7" t="n">
        <v>1.008907841992618</v>
      </c>
      <c r="D147" s="7" t="n">
        <v>1.003273453368415</v>
      </c>
      <c r="E147" s="7" t="n">
        <v>1.002912142481385</v>
      </c>
      <c r="F147" s="8" t="n"/>
    </row>
    <row r="148">
      <c r="A148" s="6" t="n">
        <v>10</v>
      </c>
      <c r="B148" s="6" t="n">
        <v>1.000514301549134</v>
      </c>
      <c r="C148" s="6" t="n">
        <v>1.001276866294272</v>
      </c>
      <c r="D148" s="6" t="n">
        <v>1.000606423380921</v>
      </c>
      <c r="E148" s="6" t="n">
        <v>1.000558770689153</v>
      </c>
      <c r="F148" s="9" t="n"/>
    </row>
    <row r="149">
      <c r="A149" s="7" t="n">
        <v>20</v>
      </c>
      <c r="B149" s="7" t="n">
        <v>1.000325520303136</v>
      </c>
      <c r="C149" s="7" t="n">
        <v>1.00039174234778</v>
      </c>
      <c r="D149" s="7" t="n">
        <v>1.00033310895405</v>
      </c>
      <c r="E149" s="7" t="n">
        <v>1.000329171185723</v>
      </c>
      <c r="F149" s="8" t="n"/>
    </row>
    <row r="150">
      <c r="A150" s="6" t="n">
        <v>50</v>
      </c>
      <c r="B150" s="6" t="n">
        <v>1.000309999345716</v>
      </c>
      <c r="C150" s="6" t="n">
        <v>1.000312373463752</v>
      </c>
      <c r="D150" s="6" t="n">
        <v>1.000310251301144</v>
      </c>
      <c r="E150" s="6" t="n">
        <v>1.000310125944275</v>
      </c>
      <c r="F150" s="9" t="n"/>
    </row>
    <row r="153" ht="20" customHeight="1">
      <c r="A153" s="4" t="inlineStr">
        <is>
          <t>Relative Error vs GSD (Native-grid Reference) - kaynak veri</t>
        </is>
      </c>
    </row>
    <row r="154" ht="22" customHeight="1">
      <c r="A154" s="5" t="inlineStr">
        <is>
          <t>gsd_m</t>
        </is>
      </c>
      <c r="B154" s="5" t="inlineStr">
        <is>
          <t>gradient_multiplier</t>
        </is>
      </c>
      <c r="C154" s="5" t="inlineStr">
        <is>
          <t>jenness_window_8tri</t>
        </is>
      </c>
      <c r="D154" s="5" t="inlineStr">
        <is>
          <t>sector_adaptive_jenness_integral</t>
        </is>
      </c>
      <c r="E154" s="5" t="inlineStr">
        <is>
          <t>tin_2tri_cell</t>
        </is>
      </c>
    </row>
    <row r="155">
      <c r="A155" s="6" t="n">
        <v>0.05</v>
      </c>
      <c r="B155" s="6" t="n">
        <v>-0.0004732261803341386</v>
      </c>
      <c r="C155" s="6" t="n">
        <v>-0.0001210799605146639</v>
      </c>
      <c r="D155" s="6" t="n">
        <v>-0.0004261445917168604</v>
      </c>
      <c r="E155" s="6" t="n">
        <v>-0.0004029868368585799</v>
      </c>
    </row>
    <row r="158" ht="20" customHeight="1">
      <c r="A158" s="4" t="inlineStr">
        <is>
          <t>Runtime vs GSD - kaynak veri</t>
        </is>
      </c>
    </row>
    <row r="159" ht="22" customHeight="1">
      <c r="A159" s="5" t="inlineStr">
        <is>
          <t>gsd_m</t>
        </is>
      </c>
      <c r="B159" s="5" t="inlineStr">
        <is>
          <t>gradient_multiplier</t>
        </is>
      </c>
      <c r="C159" s="5" t="inlineStr">
        <is>
          <t>jenness_window_8tri</t>
        </is>
      </c>
      <c r="D159" s="5" t="inlineStr">
        <is>
          <t>sector_adaptive_jenness_integral</t>
        </is>
      </c>
      <c r="E159" s="5" t="inlineStr">
        <is>
          <t>tin_2tri_cell</t>
        </is>
      </c>
    </row>
    <row r="160">
      <c r="A160" s="6" t="n">
        <v>0.05</v>
      </c>
      <c r="B160" s="6" t="n">
        <v>7.682050698262174</v>
      </c>
      <c r="C160" s="6" t="n">
        <v>65.78858370281523</v>
      </c>
      <c r="D160" s="6" t="n">
        <v>2081.548187398526</v>
      </c>
      <c r="E160" s="6" t="n">
        <v>15.69642789848149</v>
      </c>
    </row>
    <row r="161">
      <c r="A161" s="7" t="n">
        <v>0.1</v>
      </c>
      <c r="B161" s="7" t="n">
        <v>7.704395500652026</v>
      </c>
      <c r="C161" s="7" t="n">
        <v>22.01719390077051</v>
      </c>
      <c r="D161" s="7" t="n">
        <v>551.7031286003185</v>
      </c>
      <c r="E161" s="7" t="n">
        <v>9.770100601017475</v>
      </c>
    </row>
    <row r="162">
      <c r="A162" s="6" t="n">
        <v>0.5</v>
      </c>
      <c r="B162" s="6" t="n">
        <v>3.476132399810012</v>
      </c>
      <c r="C162" s="6" t="n">
        <v>3.870809999876656</v>
      </c>
      <c r="D162" s="6" t="n">
        <v>23.81353889999446</v>
      </c>
      <c r="E162" s="6" t="n">
        <v>3.540848599455785</v>
      </c>
    </row>
    <row r="163">
      <c r="A163" s="7" t="n">
        <v>1</v>
      </c>
      <c r="B163" s="7" t="n">
        <v>3.420683500065934</v>
      </c>
      <c r="C163" s="7" t="n">
        <v>3.505551300069783</v>
      </c>
      <c r="D163" s="7" t="n">
        <v>9.770413400023244</v>
      </c>
      <c r="E163" s="7" t="n">
        <v>3.450090300117154</v>
      </c>
    </row>
    <row r="164">
      <c r="A164" s="6" t="n">
        <v>2</v>
      </c>
      <c r="B164" s="6" t="n">
        <v>3.38530260004336</v>
      </c>
      <c r="C164" s="6" t="n">
        <v>3.40095369995106</v>
      </c>
      <c r="D164" s="6" t="n">
        <v>4.131573199992999</v>
      </c>
      <c r="E164" s="6" t="n">
        <v>3.387840599985793</v>
      </c>
    </row>
    <row r="165">
      <c r="A165" s="7" t="n">
        <v>5</v>
      </c>
      <c r="B165" s="7" t="n">
        <v>3.48771019995911</v>
      </c>
      <c r="C165" s="7" t="n">
        <v>3.490616400027648</v>
      </c>
      <c r="D165" s="7" t="n">
        <v>3.566732800041791</v>
      </c>
      <c r="E165" s="7" t="n">
        <v>3.4883198000025</v>
      </c>
    </row>
    <row r="166">
      <c r="A166" s="6" t="n">
        <v>10</v>
      </c>
      <c r="B166" s="6" t="n">
        <v>3.56765969999833</v>
      </c>
      <c r="C166" s="6" t="n">
        <v>3.568274399964139</v>
      </c>
      <c r="D166" s="6" t="n">
        <v>3.588710499985609</v>
      </c>
      <c r="E166" s="6" t="n">
        <v>3.567948899988551</v>
      </c>
    </row>
    <row r="167">
      <c r="A167" s="7" t="n">
        <v>20</v>
      </c>
      <c r="B167" s="7" t="n">
        <v>3.733965899969917</v>
      </c>
      <c r="C167" s="7" t="n">
        <v>3.734140799962915</v>
      </c>
      <c r="D167" s="7" t="n">
        <v>3.740086499950849</v>
      </c>
      <c r="E167" s="7" t="n">
        <v>3.734080499911215</v>
      </c>
    </row>
    <row r="168">
      <c r="A168" s="6" t="n">
        <v>50</v>
      </c>
      <c r="B168" s="6" t="n">
        <v>5.181382800044958</v>
      </c>
      <c r="C168" s="6" t="n">
        <v>5.18144640000537</v>
      </c>
      <c r="D168" s="6" t="n">
        <v>5.183720800036099</v>
      </c>
      <c r="E168" s="6" t="n">
        <v>5.181476000056136</v>
      </c>
    </row>
    <row r="171" ht="20" customHeight="1">
      <c r="A171" s="4" t="inlineStr">
        <is>
          <t>Error vs Runtime - kaynak veri</t>
        </is>
      </c>
    </row>
    <row r="172" ht="22" customHeight="1">
      <c r="A172" s="5" t="inlineStr">
        <is>
          <t>gradient_multiplier runtime (s)</t>
        </is>
      </c>
      <c r="B172" s="5" t="inlineStr">
        <is>
          <t>gradient_multiplier</t>
        </is>
      </c>
      <c r="C172" s="5" t="inlineStr">
        <is>
          <t>jenness_window_8tri runtime (s)</t>
        </is>
      </c>
      <c r="D172" s="5" t="inlineStr">
        <is>
          <t>jenness_window_8tri</t>
        </is>
      </c>
      <c r="E172" s="5" t="inlineStr">
        <is>
          <t>sector_adaptive_jenness_integral runtime (s)</t>
        </is>
      </c>
      <c r="F172" s="5" t="inlineStr">
        <is>
          <t>sector_adaptive_jenness_integral</t>
        </is>
      </c>
      <c r="G172" s="5" t="inlineStr">
        <is>
          <t>tin_2tri_cell runtime (s)</t>
        </is>
      </c>
      <c r="H172" s="5" t="inlineStr">
        <is>
          <t>tin_2tri_cell</t>
        </is>
      </c>
    </row>
    <row r="173">
      <c r="A173" s="6" t="n">
        <v>7.682050698262174</v>
      </c>
      <c r="B173" s="6" t="n">
        <v>0.0004732261803341386</v>
      </c>
      <c r="C173" s="6" t="n">
        <v>65.78858370281523</v>
      </c>
      <c r="D173" s="6" t="n">
        <v>0.0001210799605146639</v>
      </c>
      <c r="E173" s="6" t="n">
        <v>2081.548187398526</v>
      </c>
      <c r="F173" s="6" t="n">
        <v>0.0004261445917168604</v>
      </c>
      <c r="G173" s="6" t="n">
        <v>15.69642789848149</v>
      </c>
      <c r="H173" s="6" t="n">
        <v>0.0004029868368585799</v>
      </c>
    </row>
  </sheetData>
  <mergeCells count="4">
    <mergeCell ref="A3:R3"/>
    <mergeCell ref="A2:R2"/>
    <mergeCell ref="A1:R1"/>
    <mergeCell ref="A4:R4"/>
  </mergeCells>
  <pageMargins left="0.75" right="0.75" top="1" bottom="1" header="0.5" footer="0.5"/>
  <drawing xmlns:r="http://schemas.openxmlformats.org/officeDocument/2006/relationships" r:id="rId1"/>
  <tableParts count="5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2026-03-17T08:17:53Z</dcterms:created>
  <dcterms:modified xsi:type="dcterms:W3CDTF">2026-03-17T08:17:53Z</dcterms:modified>
</cp:coreProperties>
</file>