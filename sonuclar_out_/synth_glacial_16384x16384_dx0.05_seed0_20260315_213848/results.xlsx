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long" sheetId="1" state="visible" r:id="rId1"/>
    <sheet name="results_wide" sheetId="2" state="visible" r:id="rId2"/>
    <sheet name="reference_summary" sheetId="3" state="visible" r:id="rId3"/>
    <sheet name="run_info" sheetId="4" state="visible" r:id="rId4"/>
    <sheet name="grafik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1F1F"/>
      <sz val="11"/>
    </font>
    <font>
      <color rgb="003C4858"/>
      <sz val="10"/>
    </font>
    <font>
      <b val="1"/>
      <color rgb="001F1F1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CE6F1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'grafikler'!B128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'grafikler'!$A$129:$A$137</f>
            </numRef>
          </xVal>
          <yVal>
            <numRef>
              <f>'grafikler'!$B$129:$B$137</f>
            </numRef>
          </yVal>
        </ser>
        <ser>
          <idx val="1"/>
          <order val="1"/>
          <tx>
            <strRef>
              <f>'grafikler'!C128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'grafikler'!$A$129:$A$137</f>
            </numRef>
          </xVal>
          <yVal>
            <numRef>
              <f>'grafikler'!$C$129:$C$137</f>
            </numRef>
          </yVal>
        </ser>
        <ser>
          <idx val="2"/>
          <order val="2"/>
          <tx>
            <strRef>
              <f>'grafikler'!D128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'grafikler'!$A$129:$A$137</f>
            </numRef>
          </xVal>
          <yVal>
            <numRef>
              <f>'grafikler'!$D$129:$D$137</f>
            </numRef>
          </yVal>
        </ser>
        <ser>
          <idx val="3"/>
          <order val="3"/>
          <tx>
            <strRef>
              <f>'grafikler'!E128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'grafikler'!$A$129:$A$137</f>
            </numRef>
          </xVal>
          <yVal>
            <numRef>
              <f>'grafikler'!$E$129:$E$137</f>
            </numRef>
          </yVal>
        </ser>
        <ser>
          <idx val="4"/>
          <order val="4"/>
          <tx>
            <strRef>
              <f>'grafikler'!F128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'grafikler'!$A$129:$A$137</f>
            </numRef>
          </xVal>
          <yVal>
            <numRef>
              <f>'grafikler'!$F$129:$F$137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(m^2)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A3D/A2D Ratio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'grafikler'!B141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'grafikler'!$A$142:$A$150</f>
            </numRef>
          </xVal>
          <yVal>
            <numRef>
              <f>'grafikler'!$B$142:$B$150</f>
            </numRef>
          </yVal>
        </ser>
        <ser>
          <idx val="1"/>
          <order val="1"/>
          <tx>
            <strRef>
              <f>'grafikler'!C141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'grafikler'!$A$142:$A$150</f>
            </numRef>
          </xVal>
          <yVal>
            <numRef>
              <f>'grafikler'!$C$142:$C$150</f>
            </numRef>
          </yVal>
        </ser>
        <ser>
          <idx val="2"/>
          <order val="2"/>
          <tx>
            <strRef>
              <f>'grafikler'!D141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'grafikler'!$A$142:$A$150</f>
            </numRef>
          </xVal>
          <yVal>
            <numRef>
              <f>'grafikler'!$D$142:$D$150</f>
            </numRef>
          </yVal>
        </ser>
        <ser>
          <idx val="3"/>
          <order val="3"/>
          <tx>
            <strRef>
              <f>'grafikler'!E141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'grafikler'!$A$142:$A$150</f>
            </numRef>
          </xVal>
          <yVal>
            <numRef>
              <f>'grafikler'!$E$142:$E$150</f>
            </numRef>
          </yVal>
        </ser>
        <ser>
          <idx val="4"/>
          <order val="4"/>
          <tx>
            <strRef>
              <f>'grafikler'!F141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'grafikler'!$A$142:$A$150</f>
            </numRef>
          </xVal>
          <yVal>
            <numRef>
              <f>'grafikler'!$F$142:$F$150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/ A2D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(Native-grid Reference)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'grafikler'!B154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'grafikler'!$A$155</f>
            </numRef>
          </xVal>
          <yVal>
            <numRef>
              <f>'grafikler'!$B$155</f>
            </numRef>
          </yVal>
        </ser>
        <ser>
          <idx val="1"/>
          <order val="1"/>
          <tx>
            <strRef>
              <f>'grafikler'!C154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'grafikler'!$A$155</f>
            </numRef>
          </xVal>
          <yVal>
            <numRef>
              <f>'grafikler'!$C$155</f>
            </numRef>
          </yVal>
        </ser>
        <ser>
          <idx val="2"/>
          <order val="2"/>
          <tx>
            <strRef>
              <f>'grafikler'!D154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'grafikler'!$A$155</f>
            </numRef>
          </xVal>
          <yVal>
            <numRef>
              <f>'grafikler'!$D$155</f>
            </numRef>
          </yVal>
        </ser>
        <ser>
          <idx val="3"/>
          <order val="3"/>
          <tx>
            <strRef>
              <f>'grafikler'!E154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'grafikler'!$A$155</f>
            </numRef>
          </xVal>
          <yVal>
            <numRef>
              <f>'grafikler'!$E$155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Runtime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'grafikler'!B159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'grafikler'!$A$160:$A$168</f>
            </numRef>
          </xVal>
          <yVal>
            <numRef>
              <f>'grafikler'!$B$160:$B$168</f>
            </numRef>
          </yVal>
        </ser>
        <ser>
          <idx val="1"/>
          <order val="1"/>
          <tx>
            <strRef>
              <f>'grafikler'!C159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'grafikler'!$A$160:$A$168</f>
            </numRef>
          </xVal>
          <yVal>
            <numRef>
              <f>'grafikler'!$C$160:$C$168</f>
            </numRef>
          </yVal>
        </ser>
        <ser>
          <idx val="2"/>
          <order val="2"/>
          <tx>
            <strRef>
              <f>'grafikler'!D159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'grafikler'!$A$160:$A$168</f>
            </numRef>
          </xVal>
          <yVal>
            <numRef>
              <f>'grafikler'!$D$160:$D$168</f>
            </numRef>
          </yVal>
        </ser>
        <ser>
          <idx val="3"/>
          <order val="3"/>
          <tx>
            <strRef>
              <f>'grafikler'!E159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'grafikler'!$A$160:$A$168</f>
            </numRef>
          </xVal>
          <yVal>
            <numRef>
              <f>'grafikler'!$E$160:$E$168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Error vs Runtime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'grafikler'!B172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'grafikler'!$A$173</f>
            </numRef>
          </xVal>
          <yVal>
            <numRef>
              <f>'grafikler'!$B$173</f>
            </numRef>
          </yVal>
        </ser>
        <ser>
          <idx val="1"/>
          <order val="1"/>
          <tx>
            <strRef>
              <f>'grafikler'!D172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'grafikler'!$C$173</f>
            </numRef>
          </xVal>
          <yVal>
            <numRef>
              <f>'grafikler'!$D$173</f>
            </numRef>
          </yVal>
        </ser>
        <ser>
          <idx val="2"/>
          <order val="2"/>
          <tx>
            <strRef>
              <f>'grafikler'!F172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'grafikler'!$E$173</f>
            </numRef>
          </xVal>
          <yVal>
            <numRef>
              <f>'grafikler'!$F$173</f>
            </numRef>
          </yVal>
        </ser>
        <ser>
          <idx val="3"/>
          <order val="3"/>
          <tx>
            <strRef>
              <f>'grafikler'!H172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'grafikler'!$G$173</f>
            </numRef>
          </xVal>
          <yVal>
            <numRef>
              <f>'grafikler'!$H$173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|Relative error vs native-grid ref|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560000" cy="41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28</row>
      <rowOff>0</rowOff>
    </from>
    <ext cx="7560000" cy="41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51</row>
      <rowOff>0</rowOff>
    </from>
    <ext cx="7560000" cy="41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74</row>
      <rowOff>0</rowOff>
    </from>
    <ext cx="7560000" cy="41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97</row>
      <rowOff>0</rowOff>
    </from>
    <ext cx="7560000" cy="41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sultsLongTable" displayName="ResultsLongTable" ref="A1:S38" headerRowCount="1">
  <autoFilter ref="A1:S38"/>
  <tableColumns count="19">
    <tableColumn id="1" name="gsd_m"/>
    <tableColumn id="2" name="dx"/>
    <tableColumn id="3" name="dy"/>
    <tableColumn id="4" name="method"/>
    <tableColumn id="5" name="A2D"/>
    <tableColumn id="6" name="A3D"/>
    <tableColumn id="7" name="ratio"/>
    <tableColumn id="8" name="valid_cells"/>
    <tableColumn id="9" name="runtime_sec"/>
    <tableColumn id="10" name="resample_runtime_sec"/>
    <tableColumn id="11" name="note"/>
    <tableColumn id="12" name="synthetic_native_ref_A2D"/>
    <tableColumn id="13" name="synthetic_native_ref_A3D"/>
    <tableColumn id="14" name="synthetic_native_ref_ratio"/>
    <tableColumn id="15" name="A3D_synthetic_native_ref_diff"/>
    <tableColumn id="16" name="A3D_synthetic_native_ref_rel_err"/>
    <tableColumn id="17" name="sector_jenness_avg_level"/>
    <tableColumn id="18" name="sector_jenness_max_level_used"/>
    <tableColumn id="19" name="sector_jenness_refined_fr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sWideTable" displayName="ResultsWideTable" ref="A1:E10" headerRowCount="1">
  <autoFilter ref="A1:E10"/>
  <tableColumns count="5">
    <tableColumn id="1" name="gsd_m"/>
    <tableColumn id="2" name="gradient_multiplier_A3D"/>
    <tableColumn id="3" name="jenness_window_8tri_A3D"/>
    <tableColumn id="4" name="sector_adaptive_jenness_integral_A3D"/>
    <tableColumn id="5" name="tin_2tri_cell_A3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ferenceSummaryTable" displayName="ReferenceSummaryTable" ref="A1:H2" headerRowCount="1">
  <autoFilter ref="A1:H2"/>
  <tableColumns count="8">
    <tableColumn id="1" name="reference_kind"/>
    <tableColumn id="2" name="gsd_m"/>
    <tableColumn id="3" name="dx"/>
    <tableColumn id="4" name="dy"/>
    <tableColumn id="5" name="reference_A2D"/>
    <tableColumn id="6" name="reference_A3D"/>
    <tableColumn id="7" name="reference_ratio"/>
    <tableColumn id="8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unInfoTable" displayName="RunInfoTable" ref="A1:B55" headerRowCount="1">
  <autoFilter ref="A1:B55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3D_vs_GSD___kaynak_veri_127" displayName="A3D_vs_GSD___kaynak_veri_127" ref="A128:F137" headerRowCount="1">
  <autoFilter ref="A128:F137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3D_A2D_Ratio_vs_GSD___kaynak_veri_140" displayName="A3D_A2D_Ratio_vs_GSD___kaynak_veri_140" ref="A141:F150" headerRowCount="1">
  <autoFilter ref="A141:F150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elative_Error_vs_GSD__Native_grid_Reference____kaynak_veri_153" displayName="Relative_Error_vs_GSD__Native_grid_Reference____kaynak_veri_153" ref="A154:E155" headerRowCount="1">
  <autoFilter ref="A154:E155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untime_vs_GSD___kaynak_veri_158" displayName="Runtime_vs_GSD___kaynak_veri_158" ref="A159:E168" headerRowCount="1">
  <autoFilter ref="A159:E168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Error_vs_Runtime___kaynak_veri_171" displayName="Error_vs_Runtime___kaynak_veri_171" ref="A172:H173" headerRowCount="1">
  <autoFilter ref="A172:H173"/>
  <tableColumns count="8">
    <tableColumn id="1" name="gradient_multiplier runtime (s)"/>
    <tableColumn id="2" name="gradient_multiplier"/>
    <tableColumn id="3" name="jenness_window_8tri runtime (s)"/>
    <tableColumn id="4" name="jenness_window_8tri"/>
    <tableColumn id="5" name="sector_adaptive_jenness_integral runtime (s)"/>
    <tableColumn id="6" name="sector_adaptive_jenness_integral"/>
    <tableColumn id="7" name="tin_2tri_cell runtime (s)"/>
    <tableColumn id="8" name="tin_2tri_ce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Relationship Type="http://schemas.openxmlformats.org/officeDocument/2006/relationships/table" Target="/xl/tables/table7.xml" Id="rId4" /><Relationship Type="http://schemas.openxmlformats.org/officeDocument/2006/relationships/table" Target="/xl/tables/table8.xml" Id="rId5" /><Relationship Type="http://schemas.openxmlformats.org/officeDocument/2006/relationships/table" Target="/xl/tables/table9.xm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dx</t>
        </is>
      </c>
      <c r="C1" t="inlineStr">
        <is>
          <t>dy</t>
        </is>
      </c>
      <c r="D1" t="inlineStr">
        <is>
          <t>method</t>
        </is>
      </c>
      <c r="E1" t="inlineStr">
        <is>
          <t>A2D</t>
        </is>
      </c>
      <c r="F1" t="inlineStr">
        <is>
          <t>A3D</t>
        </is>
      </c>
      <c r="G1" t="inlineStr">
        <is>
          <t>ratio</t>
        </is>
      </c>
      <c r="H1" t="inlineStr">
        <is>
          <t>valid_cells</t>
        </is>
      </c>
      <c r="I1" t="inlineStr">
        <is>
          <t>runtime_sec</t>
        </is>
      </c>
      <c r="J1" t="inlineStr">
        <is>
          <t>resample_runtime_sec</t>
        </is>
      </c>
      <c r="K1" t="inlineStr">
        <is>
          <t>note</t>
        </is>
      </c>
      <c r="L1" t="inlineStr">
        <is>
          <t>synthetic_native_ref_A2D</t>
        </is>
      </c>
      <c r="M1" t="inlineStr">
        <is>
          <t>synthetic_native_ref_A3D</t>
        </is>
      </c>
      <c r="N1" t="inlineStr">
        <is>
          <t>synthetic_native_ref_ratio</t>
        </is>
      </c>
      <c r="O1" t="inlineStr">
        <is>
          <t>A3D_synthetic_native_ref_diff</t>
        </is>
      </c>
      <c r="P1" t="inlineStr">
        <is>
          <t>A3D_synthetic_native_ref_rel_err</t>
        </is>
      </c>
      <c r="Q1" t="inlineStr">
        <is>
          <t>sector_jenness_avg_level</t>
        </is>
      </c>
      <c r="R1" t="inlineStr">
        <is>
          <t>sector_jenness_max_level_used</t>
        </is>
      </c>
      <c r="S1" t="inlineStr">
        <is>
          <t>sector_jenness_refined_fraction</t>
        </is>
      </c>
    </row>
    <row r="2">
      <c r="A2" t="n">
        <v>0.05</v>
      </c>
      <c r="B2" t="n">
        <v>0.05</v>
      </c>
      <c r="C2" t="n">
        <v>0.05</v>
      </c>
      <c r="D2" t="inlineStr">
        <is>
          <t>gradient_multiplier</t>
        </is>
      </c>
      <c r="E2" t="n">
        <v>670924.8100000001</v>
      </c>
      <c r="F2" t="n">
        <v>1142135.312197354</v>
      </c>
      <c r="G2" t="n">
        <v>1.702329821723769</v>
      </c>
      <c r="H2" t="n">
        <v>268369924</v>
      </c>
      <c r="I2" t="n">
        <v>5.8237881019013</v>
      </c>
      <c r="J2" t="n">
        <v>0</v>
      </c>
      <c r="K2" t="inlineStr">
        <is>
          <t>resampling=native;dx=0.05;dy=0.05;slope_method=horn;runtime=compute_only</t>
        </is>
      </c>
      <c r="L2" t="n">
        <v>671006.7225000001</v>
      </c>
      <c r="M2" t="n">
        <v>1142729.337873354</v>
      </c>
      <c r="N2" t="n">
        <v>1.703007286746451</v>
      </c>
      <c r="O2" t="n">
        <v>-594.0256760003977</v>
      </c>
      <c r="P2" t="n">
        <v>-0.0005198305988239466</v>
      </c>
      <c r="Q2" t="inlineStr"/>
      <c r="R2" t="inlineStr"/>
      <c r="S2" t="inlineStr"/>
    </row>
    <row r="3">
      <c r="A3" t="n">
        <v>0.05</v>
      </c>
      <c r="B3" t="n">
        <v>0.05</v>
      </c>
      <c r="C3" t="n">
        <v>0.05</v>
      </c>
      <c r="D3" t="inlineStr">
        <is>
          <t>jenness_window_8tri</t>
        </is>
      </c>
      <c r="E3" t="n">
        <v>670924.8100000001</v>
      </c>
      <c r="F3" t="n">
        <v>1142606.598397461</v>
      </c>
      <c r="G3" t="n">
        <v>1.703032264371713</v>
      </c>
      <c r="H3" t="n">
        <v>268369924</v>
      </c>
      <c r="I3" t="n">
        <v>63.5940032984945</v>
      </c>
      <c r="J3" t="n">
        <v>0</v>
      </c>
      <c r="K3" t="inlineStr">
        <is>
          <t>resampling=native;dx=0.05;dy=0.05;weight=0.25;triangle=heron;runtime=compute_only</t>
        </is>
      </c>
      <c r="L3" t="n">
        <v>671006.7225000001</v>
      </c>
      <c r="M3" t="n">
        <v>1142729.337873354</v>
      </c>
      <c r="N3" t="n">
        <v>1.703007286746451</v>
      </c>
      <c r="O3" t="n">
        <v>-122.7394758926239</v>
      </c>
      <c r="P3" t="n">
        <v>-0.0001074090528917765</v>
      </c>
      <c r="Q3" t="inlineStr"/>
      <c r="R3" t="inlineStr"/>
      <c r="S3" t="inlineStr"/>
    </row>
    <row r="4">
      <c r="A4" t="n">
        <v>0.05</v>
      </c>
      <c r="B4" t="n">
        <v>0.05</v>
      </c>
      <c r="C4" t="n">
        <v>0.05</v>
      </c>
      <c r="D4" t="inlineStr">
        <is>
          <t>sector_adaptive_jenness_integral</t>
        </is>
      </c>
      <c r="E4" t="n">
        <v>670924.8100000001</v>
      </c>
      <c r="F4" t="n">
        <v>1142200.575258207</v>
      </c>
      <c r="G4" t="n">
        <v>1.702427095009658</v>
      </c>
      <c r="H4" t="n">
        <v>268369924</v>
      </c>
      <c r="I4" t="n">
        <v>2162.107937701687</v>
      </c>
      <c r="J4" t="n">
        <v>0</v>
      </c>
      <c r="K4" t="inlineStr">
        <is>
          <t>resampling=native;dx=0.05;dy=0.05;surface=quadratic_ls_3x3;partition=8_sector_cell;min_samples=3;rel_tol=0.0001;abs_tol=0;max_level=5;runtime=compute_only</t>
        </is>
      </c>
      <c r="L4" t="n">
        <v>671006.7225000001</v>
      </c>
      <c r="M4" t="n">
        <v>1142729.337873354</v>
      </c>
      <c r="N4" t="n">
        <v>1.703007286746451</v>
      </c>
      <c r="O4" t="n">
        <v>-528.7626151472796</v>
      </c>
      <c r="P4" t="n">
        <v>-0.0004627190338276596</v>
      </c>
      <c r="Q4" t="n">
        <v>0.9999999254760008</v>
      </c>
      <c r="R4" t="n">
        <v>1</v>
      </c>
      <c r="S4" t="n">
        <v>0.9999999254760008</v>
      </c>
    </row>
    <row r="5">
      <c r="A5" t="n">
        <v>0.05</v>
      </c>
      <c r="B5" t="n">
        <v>0.05</v>
      </c>
      <c r="C5" t="n">
        <v>0.05</v>
      </c>
      <c r="D5" t="inlineStr">
        <is>
          <t>tin_2tri_cell</t>
        </is>
      </c>
      <c r="E5" t="n">
        <v>670924.8100000001</v>
      </c>
      <c r="F5" t="n">
        <v>1142192.148281432</v>
      </c>
      <c r="G5" t="n">
        <v>1.70241453476945</v>
      </c>
      <c r="H5" t="n">
        <v>268369924</v>
      </c>
      <c r="I5" t="n">
        <v>14.61292630684329</v>
      </c>
      <c r="J5" t="n">
        <v>0</v>
      </c>
      <c r="K5" t="inlineStr">
        <is>
          <t>resampling=native;dx=0.05;dy=0.05;triangles=2;runtime=compute_only</t>
        </is>
      </c>
      <c r="L5" t="n">
        <v>671006.7225000001</v>
      </c>
      <c r="M5" t="n">
        <v>1142729.337873354</v>
      </c>
      <c r="N5" t="n">
        <v>1.703007286746451</v>
      </c>
      <c r="O5" t="n">
        <v>-537.1895919220988</v>
      </c>
      <c r="P5" t="n">
        <v>-0.0004700934631833476</v>
      </c>
      <c r="Q5" t="inlineStr"/>
      <c r="R5" t="inlineStr"/>
      <c r="S5" t="inlineStr"/>
    </row>
    <row r="6">
      <c r="A6" t="n">
        <v>0.05</v>
      </c>
      <c r="B6" t="n">
        <v>0.05</v>
      </c>
      <c r="C6" t="n">
        <v>0.05</v>
      </c>
      <c r="D6" t="inlineStr">
        <is>
          <t>native_grid_reference</t>
        </is>
      </c>
      <c r="E6" t="n">
        <v>671006.7225000001</v>
      </c>
      <c r="F6" t="n">
        <v>1142729.337873354</v>
      </c>
      <c r="G6" t="n">
        <v>1.703007286746451</v>
      </c>
      <c r="H6" t="inlineStr"/>
      <c r="I6" t="inlineStr"/>
      <c r="J6" t="inlineStr"/>
      <c r="K6" t="inlineStr">
        <is>
          <t>reference_row=native_grid_reference</t>
        </is>
      </c>
      <c r="L6" t="n">
        <v>671006.7225000001</v>
      </c>
      <c r="M6" t="n">
        <v>1142729.337873354</v>
      </c>
      <c r="N6" t="n">
        <v>1.703007286746451</v>
      </c>
      <c r="O6" t="n">
        <v>0</v>
      </c>
      <c r="P6" t="n">
        <v>0</v>
      </c>
      <c r="Q6" t="inlineStr"/>
      <c r="R6" t="inlineStr"/>
      <c r="S6" t="inlineStr"/>
    </row>
    <row r="7">
      <c r="A7" t="n">
        <v>0.1</v>
      </c>
      <c r="B7" t="n">
        <v>0.1</v>
      </c>
      <c r="C7" t="n">
        <v>0.1</v>
      </c>
      <c r="D7" t="inlineStr">
        <is>
          <t>gradient_multiplier</t>
        </is>
      </c>
      <c r="E7" t="n">
        <v>670761</v>
      </c>
      <c r="F7" t="n">
        <v>1139713.848954782</v>
      </c>
      <c r="G7" t="n">
        <v>1.699135532558962</v>
      </c>
      <c r="H7" t="n">
        <v>67076100</v>
      </c>
      <c r="I7" t="n">
        <v>1.479326600616332</v>
      </c>
      <c r="J7" t="n">
        <v>5.889013000007253</v>
      </c>
      <c r="K7" t="inlineStr">
        <is>
          <t>resampling=bilinear;dx=0.1;dy=0.1;slope_method=horn;runtime=compute_only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0.1</v>
      </c>
      <c r="B8" t="n">
        <v>0.1</v>
      </c>
      <c r="C8" t="n">
        <v>0.1</v>
      </c>
      <c r="D8" t="inlineStr">
        <is>
          <t>jenness_window_8tri</t>
        </is>
      </c>
      <c r="E8" t="n">
        <v>670761</v>
      </c>
      <c r="F8" t="n">
        <v>1141069.380631273</v>
      </c>
      <c r="G8" t="n">
        <v>1.701156418800844</v>
      </c>
      <c r="H8" t="n">
        <v>67076100</v>
      </c>
      <c r="I8" t="n">
        <v>14.31193719926523</v>
      </c>
      <c r="J8" t="n">
        <v>5.889013000007253</v>
      </c>
      <c r="K8" t="inlineStr">
        <is>
          <t>resampling=bilinear;dx=0.1;dy=0.1;weight=0.25;triangle=heron;runtime=compute_only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0.1</v>
      </c>
      <c r="B9" t="n">
        <v>0.1</v>
      </c>
      <c r="C9" t="n">
        <v>0.1</v>
      </c>
      <c r="D9" t="inlineStr">
        <is>
          <t>sector_adaptive_jenness_integral</t>
        </is>
      </c>
      <c r="E9" t="n">
        <v>670761</v>
      </c>
      <c r="F9" t="n">
        <v>1139871.804680577</v>
      </c>
      <c r="G9" t="n">
        <v>1.699371019902136</v>
      </c>
      <c r="H9" t="n">
        <v>67076100</v>
      </c>
      <c r="I9" t="n">
        <v>534.3880618001567</v>
      </c>
      <c r="J9" t="n">
        <v>5.889013000007253</v>
      </c>
      <c r="K9" t="inlineStr">
        <is>
          <t>resampling=bilinear;dx=0.1;dy=0.1;surface=quadratic_ls_3x3;partition=8_sector_cell;min_samples=3;rel_tol=0.0001;abs_tol=0;max_level=5;runtime=compute_only</t>
        </is>
      </c>
      <c r="L9" t="inlineStr"/>
      <c r="M9" t="inlineStr"/>
      <c r="N9" t="inlineStr"/>
      <c r="O9" t="inlineStr"/>
      <c r="P9" t="inlineStr"/>
      <c r="Q9" t="n">
        <v>0.9999741338569177</v>
      </c>
      <c r="R9" t="n">
        <v>5</v>
      </c>
      <c r="S9" t="n">
        <v>0.9999673952421205</v>
      </c>
    </row>
    <row r="10">
      <c r="A10" t="n">
        <v>0.1</v>
      </c>
      <c r="B10" t="n">
        <v>0.1</v>
      </c>
      <c r="C10" t="n">
        <v>0.1</v>
      </c>
      <c r="D10" t="inlineStr">
        <is>
          <t>tin_2tri_cell</t>
        </is>
      </c>
      <c r="E10" t="n">
        <v>670761</v>
      </c>
      <c r="F10" t="n">
        <v>1139937.970621434</v>
      </c>
      <c r="G10" t="n">
        <v>1.699469662996856</v>
      </c>
      <c r="H10" t="n">
        <v>67076100</v>
      </c>
      <c r="I10" t="n">
        <v>3.464232999656815</v>
      </c>
      <c r="J10" t="n">
        <v>5.889013000007253</v>
      </c>
      <c r="K10" t="inlineStr">
        <is>
          <t>resampling=bilinear;dx=0.1;dy=0.1;triangles=2;runtime=compute_only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0.5</v>
      </c>
      <c r="B11" t="n">
        <v>0.5</v>
      </c>
      <c r="C11" t="n">
        <v>0.5</v>
      </c>
      <c r="D11" t="inlineStr">
        <is>
          <t>gradient_multiplier</t>
        </is>
      </c>
      <c r="E11" t="n">
        <v>669124</v>
      </c>
      <c r="F11" t="n">
        <v>1094872.000627732</v>
      </c>
      <c r="G11" t="n">
        <v>1.636276685080392</v>
      </c>
      <c r="H11" t="n">
        <v>2676496</v>
      </c>
      <c r="I11" t="n">
        <v>0.06397279986413196</v>
      </c>
      <c r="J11" t="n">
        <v>3.213503899984062</v>
      </c>
      <c r="K11" t="inlineStr">
        <is>
          <t>resampling=bilinear;dx=0.5;dy=0.5;slope_method=horn;runtime=compute_only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0.5</v>
      </c>
      <c r="B12" t="n">
        <v>0.5</v>
      </c>
      <c r="C12" t="n">
        <v>0.5</v>
      </c>
      <c r="D12" t="inlineStr">
        <is>
          <t>jenness_window_8tri</t>
        </is>
      </c>
      <c r="E12" t="n">
        <v>669124</v>
      </c>
      <c r="F12" t="n">
        <v>1117475.879014734</v>
      </c>
      <c r="G12" t="n">
        <v>1.670057984790164</v>
      </c>
      <c r="H12" t="n">
        <v>2676496</v>
      </c>
      <c r="I12" t="n">
        <v>0.4879501001560129</v>
      </c>
      <c r="J12" t="n">
        <v>3.213503899984062</v>
      </c>
      <c r="K12" t="inlineStr">
        <is>
          <t>resampling=bilinear;dx=0.5;dy=0.5;weight=0.25;triangle=heron;runtime=compute_only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0.5</v>
      </c>
      <c r="B13" t="n">
        <v>0.5</v>
      </c>
      <c r="C13" t="n">
        <v>0.5</v>
      </c>
      <c r="D13" t="inlineStr">
        <is>
          <t>sector_adaptive_jenness_integral</t>
        </is>
      </c>
      <c r="E13" t="n">
        <v>669124</v>
      </c>
      <c r="F13" t="n">
        <v>1097916.27821142</v>
      </c>
      <c r="G13" t="n">
        <v>1.640826331459371</v>
      </c>
      <c r="H13" t="n">
        <v>2676496</v>
      </c>
      <c r="I13" t="n">
        <v>22.60892150009749</v>
      </c>
      <c r="J13" t="n">
        <v>3.213503899984062</v>
      </c>
      <c r="K13" t="inlineStr">
        <is>
          <t>resampling=bilinear;dx=0.5;dy=0.5;surface=quadratic_ls_3x3;partition=8_sector_cell;min_samples=3;rel_tol=0.0001;abs_tol=0;max_level=5;runtime=compute_only</t>
        </is>
      </c>
      <c r="L13" t="inlineStr"/>
      <c r="M13" t="inlineStr"/>
      <c r="N13" t="inlineStr"/>
      <c r="O13" t="inlineStr"/>
      <c r="P13" t="inlineStr"/>
      <c r="Q13" t="n">
        <v>1.01026117730047</v>
      </c>
      <c r="R13" t="n">
        <v>5</v>
      </c>
      <c r="S13" t="n">
        <v>1</v>
      </c>
    </row>
    <row r="14">
      <c r="A14" t="n">
        <v>0.5</v>
      </c>
      <c r="B14" t="n">
        <v>0.5</v>
      </c>
      <c r="C14" t="n">
        <v>0.5</v>
      </c>
      <c r="D14" t="inlineStr">
        <is>
          <t>tin_2tri_cell</t>
        </is>
      </c>
      <c r="E14" t="n">
        <v>669124</v>
      </c>
      <c r="F14" t="n">
        <v>1098752.550099303</v>
      </c>
      <c r="G14" t="n">
        <v>1.64207613252447</v>
      </c>
      <c r="H14" t="n">
        <v>2676496</v>
      </c>
      <c r="I14" t="n">
        <v>0.1669500998104922</v>
      </c>
      <c r="J14" t="n">
        <v>3.213503899984062</v>
      </c>
      <c r="K14" t="inlineStr">
        <is>
          <t>resampling=bilinear;dx=0.5;dy=0.5;triangles=2;runtime=compute_only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</v>
      </c>
      <c r="B15" t="n">
        <v>1</v>
      </c>
      <c r="C15" t="n">
        <v>1</v>
      </c>
      <c r="D15" t="inlineStr">
        <is>
          <t>gradient_multiplier</t>
        </is>
      </c>
      <c r="E15" t="n">
        <v>667489</v>
      </c>
      <c r="F15" t="n">
        <v>1025228.516657124</v>
      </c>
      <c r="G15" t="n">
        <v>1.535948182902076</v>
      </c>
      <c r="H15" t="n">
        <v>667489</v>
      </c>
      <c r="I15" t="n">
        <v>0.0151327001512982</v>
      </c>
      <c r="J15" t="n">
        <v>3.205333200050518</v>
      </c>
      <c r="K15" t="inlineStr">
        <is>
          <t>resampling=bilinear;dx=1;dy=1;slope_method=horn;runtime=compute_only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</v>
      </c>
      <c r="B16" t="n">
        <v>1</v>
      </c>
      <c r="C16" t="n">
        <v>1</v>
      </c>
      <c r="D16" t="inlineStr">
        <is>
          <t>jenness_window_8tri</t>
        </is>
      </c>
      <c r="E16" t="n">
        <v>667489</v>
      </c>
      <c r="F16" t="n">
        <v>1070164.703272934</v>
      </c>
      <c r="G16" t="n">
        <v>1.603269422077269</v>
      </c>
      <c r="H16" t="n">
        <v>667489</v>
      </c>
      <c r="I16" t="n">
        <v>0.09727709990693256</v>
      </c>
      <c r="J16" t="n">
        <v>3.205333200050518</v>
      </c>
      <c r="K16" t="inlineStr">
        <is>
          <t>resampling=bilinear;dx=1;dy=1;weight=0.25;triangle=heron;runtime=compute_only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</v>
      </c>
      <c r="B17" t="n">
        <v>1</v>
      </c>
      <c r="C17" t="n">
        <v>1</v>
      </c>
      <c r="D17" t="inlineStr">
        <is>
          <t>sector_adaptive_jenness_integral</t>
        </is>
      </c>
      <c r="E17" t="n">
        <v>667489</v>
      </c>
      <c r="F17" t="n">
        <v>1031393.611751107</v>
      </c>
      <c r="G17" t="n">
        <v>1.545184432629013</v>
      </c>
      <c r="H17" t="n">
        <v>667489</v>
      </c>
      <c r="I17" t="n">
        <v>8.690798199968413</v>
      </c>
      <c r="J17" t="n">
        <v>3.205333200050518</v>
      </c>
      <c r="K17" t="inlineStr">
        <is>
          <t>resampling=bilinear;dx=1;dy=1;surface=quadratic_ls_3x3;partition=8_sector_cell;min_samples=3;rel_tol=0.0001;abs_tol=0;max_level=5;runtime=compute_only</t>
        </is>
      </c>
      <c r="L17" t="inlineStr"/>
      <c r="M17" t="inlineStr"/>
      <c r="N17" t="inlineStr"/>
      <c r="O17" t="inlineStr"/>
      <c r="P17" t="inlineStr"/>
      <c r="Q17" t="n">
        <v>1.024226616468586</v>
      </c>
      <c r="R17" t="n">
        <v>5</v>
      </c>
      <c r="S17" t="n">
        <v>1</v>
      </c>
    </row>
    <row r="18">
      <c r="A18" t="n">
        <v>1</v>
      </c>
      <c r="B18" t="n">
        <v>1</v>
      </c>
      <c r="C18" t="n">
        <v>1</v>
      </c>
      <c r="D18" t="inlineStr">
        <is>
          <t>tin_2tri_cell</t>
        </is>
      </c>
      <c r="E18" t="n">
        <v>667489</v>
      </c>
      <c r="F18" t="n">
        <v>1031211.916433166</v>
      </c>
      <c r="G18" t="n">
        <v>1.544912225419694</v>
      </c>
      <c r="H18" t="n">
        <v>667489</v>
      </c>
      <c r="I18" t="n">
        <v>0.02750979998381808</v>
      </c>
      <c r="J18" t="n">
        <v>3.205333200050518</v>
      </c>
      <c r="K18" t="inlineStr">
        <is>
          <t>resampling=bilinear;dx=1;dy=1;triangles=2;runtime=compute_only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2</v>
      </c>
      <c r="B19" t="n">
        <v>2</v>
      </c>
      <c r="C19" t="n">
        <v>2</v>
      </c>
      <c r="D19" t="inlineStr">
        <is>
          <t>gradient_multiplier</t>
        </is>
      </c>
      <c r="E19" t="n">
        <v>665856</v>
      </c>
      <c r="F19" t="n">
        <v>963906.9670821835</v>
      </c>
      <c r="G19" t="n">
        <v>1.447620757464352</v>
      </c>
      <c r="H19" t="n">
        <v>166464</v>
      </c>
      <c r="I19" t="n">
        <v>0.002650299982633442</v>
      </c>
      <c r="J19" t="n">
        <v>3.280818100029137</v>
      </c>
      <c r="K19" t="inlineStr">
        <is>
          <t>resampling=bilinear;dx=2;dy=2;slope_method=horn;runtime=compute_only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2</v>
      </c>
      <c r="B20" t="n">
        <v>2</v>
      </c>
      <c r="C20" t="n">
        <v>2</v>
      </c>
      <c r="D20" t="inlineStr">
        <is>
          <t>jenness_window_8tri</t>
        </is>
      </c>
      <c r="E20" t="n">
        <v>665856</v>
      </c>
      <c r="F20" t="n">
        <v>996477.2955233818</v>
      </c>
      <c r="G20" t="n">
        <v>1.496535730733645</v>
      </c>
      <c r="H20" t="n">
        <v>166464</v>
      </c>
      <c r="I20" t="n">
        <v>0.02526570000918582</v>
      </c>
      <c r="J20" t="n">
        <v>3.280818100029137</v>
      </c>
      <c r="K20" t="inlineStr">
        <is>
          <t>resampling=bilinear;dx=2;dy=2;weight=0.25;triangle=heron;runtime=compute_only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2</v>
      </c>
      <c r="B21" t="n">
        <v>2</v>
      </c>
      <c r="C21" t="n">
        <v>2</v>
      </c>
      <c r="D21" t="inlineStr">
        <is>
          <t>sector_adaptive_jenness_integral</t>
        </is>
      </c>
      <c r="E21" t="n">
        <v>665856</v>
      </c>
      <c r="F21" t="n">
        <v>968245.464580632</v>
      </c>
      <c r="G21" t="n">
        <v>1.454136426765895</v>
      </c>
      <c r="H21" t="n">
        <v>166464</v>
      </c>
      <c r="I21" t="n">
        <v>1.310761299973819</v>
      </c>
      <c r="J21" t="n">
        <v>3.280818100029137</v>
      </c>
      <c r="K21" t="inlineStr">
        <is>
          <t>resampling=bilinear;dx=2;dy=2;surface=quadratic_ls_3x3;partition=8_sector_cell;min_samples=3;rel_tol=0.0001;abs_tol=0;max_level=5;runtime=compute_only</t>
        </is>
      </c>
      <c r="L21" t="inlineStr"/>
      <c r="M21" t="inlineStr"/>
      <c r="N21" t="inlineStr"/>
      <c r="O21" t="inlineStr"/>
      <c r="P21" t="inlineStr"/>
      <c r="Q21" t="n">
        <v>1.034716214917339</v>
      </c>
      <c r="R21" t="n">
        <v>5</v>
      </c>
      <c r="S21" t="n">
        <v>1</v>
      </c>
    </row>
    <row r="22">
      <c r="A22" t="n">
        <v>2</v>
      </c>
      <c r="B22" t="n">
        <v>2</v>
      </c>
      <c r="C22" t="n">
        <v>2</v>
      </c>
      <c r="D22" t="inlineStr">
        <is>
          <t>tin_2tri_cell</t>
        </is>
      </c>
      <c r="E22" t="n">
        <v>665856</v>
      </c>
      <c r="F22" t="n">
        <v>966525.4157608136</v>
      </c>
      <c r="G22" t="n">
        <v>1.451553212347435</v>
      </c>
      <c r="H22" t="n">
        <v>166464</v>
      </c>
      <c r="I22" t="n">
        <v>0.005046500125899911</v>
      </c>
      <c r="J22" t="n">
        <v>3.280818100029137</v>
      </c>
      <c r="K22" t="inlineStr">
        <is>
          <t>resampling=bilinear;dx=2;dy=2;triangles=2;runtime=compute_only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5</v>
      </c>
      <c r="B23" t="n">
        <v>5</v>
      </c>
      <c r="C23" t="n">
        <v>5</v>
      </c>
      <c r="D23" t="inlineStr">
        <is>
          <t>gradient_multiplier</t>
        </is>
      </c>
      <c r="E23" t="n">
        <v>656100</v>
      </c>
      <c r="F23" t="n">
        <v>917738.2430746093</v>
      </c>
      <c r="G23" t="n">
        <v>1.398777995846074</v>
      </c>
      <c r="H23" t="n">
        <v>26244</v>
      </c>
      <c r="I23" t="n">
        <v>0.0003529000096023083</v>
      </c>
      <c r="J23" t="n">
        <v>3.227519200008828</v>
      </c>
      <c r="K23" t="inlineStr">
        <is>
          <t>resampling=bilinear;dx=5;dy=5;slope_method=horn;runtime=compute_only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5</v>
      </c>
      <c r="B24" t="n">
        <v>5</v>
      </c>
      <c r="C24" t="n">
        <v>5</v>
      </c>
      <c r="D24" t="inlineStr">
        <is>
          <t>jenness_window_8tri</t>
        </is>
      </c>
      <c r="E24" t="n">
        <v>656100</v>
      </c>
      <c r="F24" t="n">
        <v>929592.1910192205</v>
      </c>
      <c r="G24" t="n">
        <v>1.416845284284744</v>
      </c>
      <c r="H24" t="n">
        <v>26244</v>
      </c>
      <c r="I24" t="n">
        <v>0.002411599969491363</v>
      </c>
      <c r="J24" t="n">
        <v>3.227519200008828</v>
      </c>
      <c r="K24" t="inlineStr">
        <is>
          <t>resampling=bilinear;dx=5;dy=5;weight=0.25;triangle=heron;runtime=compute_only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5</v>
      </c>
      <c r="B25" t="n">
        <v>5</v>
      </c>
      <c r="C25" t="n">
        <v>5</v>
      </c>
      <c r="D25" t="inlineStr">
        <is>
          <t>sector_adaptive_jenness_integral</t>
        </is>
      </c>
      <c r="E25" t="n">
        <v>656100</v>
      </c>
      <c r="F25" t="n">
        <v>919800.1992273743</v>
      </c>
      <c r="G25" t="n">
        <v>1.401920742611453</v>
      </c>
      <c r="H25" t="n">
        <v>26244</v>
      </c>
      <c r="I25" t="n">
        <v>0.1064287000335753</v>
      </c>
      <c r="J25" t="n">
        <v>3.227519200008828</v>
      </c>
      <c r="K25" t="inlineStr">
        <is>
          <t>resampling=bilinear;dx=5;dy=5;surface=quadratic_ls_3x3;partition=8_sector_cell;min_samples=3;rel_tol=0.0001;abs_tol=0;max_level=5;runtime=compute_only</t>
        </is>
      </c>
      <c r="L25" t="inlineStr"/>
      <c r="M25" t="inlineStr"/>
      <c r="N25" t="inlineStr"/>
      <c r="O25" t="inlineStr"/>
      <c r="P25" t="inlineStr"/>
      <c r="Q25" t="n">
        <v>1.083371437280902</v>
      </c>
      <c r="R25" t="n">
        <v>5</v>
      </c>
      <c r="S25" t="n">
        <v>1</v>
      </c>
    </row>
    <row r="26">
      <c r="A26" t="n">
        <v>5</v>
      </c>
      <c r="B26" t="n">
        <v>5</v>
      </c>
      <c r="C26" t="n">
        <v>5</v>
      </c>
      <c r="D26" t="inlineStr">
        <is>
          <t>tin_2tri_cell</t>
        </is>
      </c>
      <c r="E26" t="n">
        <v>656100</v>
      </c>
      <c r="F26" t="n">
        <v>918178.0916024166</v>
      </c>
      <c r="G26" t="n">
        <v>1.399448394455749</v>
      </c>
      <c r="H26" t="n">
        <v>26244</v>
      </c>
      <c r="I26" t="n">
        <v>0.0007818000158295035</v>
      </c>
      <c r="J26" t="n">
        <v>3.227519200008828</v>
      </c>
      <c r="K26" t="inlineStr">
        <is>
          <t>resampling=bilinear;dx=5;dy=5;triangles=2;runtime=compute_only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10</v>
      </c>
      <c r="B27" t="n">
        <v>10</v>
      </c>
      <c r="C27" t="n">
        <v>10</v>
      </c>
      <c r="D27" t="inlineStr">
        <is>
          <t>gradient_multiplier</t>
        </is>
      </c>
      <c r="E27" t="n">
        <v>640000</v>
      </c>
      <c r="F27" t="n">
        <v>865961.0203599777</v>
      </c>
      <c r="G27" t="n">
        <v>1.353064094312465</v>
      </c>
      <c r="H27" t="n">
        <v>6400</v>
      </c>
      <c r="I27" t="n">
        <v>0.0001663999864831567</v>
      </c>
      <c r="J27" t="n">
        <v>3.29356140003074</v>
      </c>
      <c r="K27" t="inlineStr">
        <is>
          <t>resampling=bilinear;dx=10;dy=10;slope_method=horn;runtime=compute_only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10</v>
      </c>
      <c r="B28" t="n">
        <v>10</v>
      </c>
      <c r="C28" t="n">
        <v>10</v>
      </c>
      <c r="D28" t="inlineStr">
        <is>
          <t>jenness_window_8tri</t>
        </is>
      </c>
      <c r="E28" t="n">
        <v>640000</v>
      </c>
      <c r="F28" t="n">
        <v>881343.3835812779</v>
      </c>
      <c r="G28" t="n">
        <v>1.377099036845747</v>
      </c>
      <c r="H28" t="n">
        <v>6400</v>
      </c>
      <c r="I28" t="n">
        <v>0.0005238000303506851</v>
      </c>
      <c r="J28" t="n">
        <v>3.29356140003074</v>
      </c>
      <c r="K28" t="inlineStr">
        <is>
          <t>resampling=bilinear;dx=10;dy=10;weight=0.25;triangle=heron;runtime=compute_only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10</v>
      </c>
      <c r="B29" t="n">
        <v>10</v>
      </c>
      <c r="C29" t="n">
        <v>10</v>
      </c>
      <c r="D29" t="inlineStr">
        <is>
          <t>sector_adaptive_jenness_integral</t>
        </is>
      </c>
      <c r="E29" t="n">
        <v>640000</v>
      </c>
      <c r="F29" t="n">
        <v>870027.341614889</v>
      </c>
      <c r="G29" t="n">
        <v>1.359417721273264</v>
      </c>
      <c r="H29" t="n">
        <v>6400</v>
      </c>
      <c r="I29" t="n">
        <v>0.02620399999432266</v>
      </c>
      <c r="J29" t="n">
        <v>3.29356140003074</v>
      </c>
      <c r="K29" t="inlineStr">
        <is>
          <t>resampling=bilinear;dx=10;dy=10;surface=quadratic_ls_3x3;partition=8_sector_cell;min_samples=3;rel_tol=0.0001;abs_tol=0;max_level=5;runtime=compute_only</t>
        </is>
      </c>
      <c r="L29" t="inlineStr"/>
      <c r="M29" t="inlineStr"/>
      <c r="N29" t="inlineStr"/>
      <c r="O29" t="inlineStr"/>
      <c r="P29" t="inlineStr"/>
      <c r="Q29" t="n">
        <v>1.1271875</v>
      </c>
      <c r="R29" t="n">
        <v>4</v>
      </c>
      <c r="S29" t="n">
        <v>1</v>
      </c>
    </row>
    <row r="30">
      <c r="A30" t="n">
        <v>10</v>
      </c>
      <c r="B30" t="n">
        <v>10</v>
      </c>
      <c r="C30" t="n">
        <v>10</v>
      </c>
      <c r="D30" t="inlineStr">
        <is>
          <t>tin_2tri_cell</t>
        </is>
      </c>
      <c r="E30" t="n">
        <v>640000</v>
      </c>
      <c r="F30" t="n">
        <v>866366.7018247022</v>
      </c>
      <c r="G30" t="n">
        <v>1.353697971601097</v>
      </c>
      <c r="H30" t="n">
        <v>6400</v>
      </c>
      <c r="I30" t="n">
        <v>0.0002779999631457031</v>
      </c>
      <c r="J30" t="n">
        <v>3.29356140003074</v>
      </c>
      <c r="K30" t="inlineStr">
        <is>
          <t>resampling=bilinear;dx=10;dy=10;triangles=2;runtime=compute_only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20</v>
      </c>
      <c r="B31" t="n">
        <v>20</v>
      </c>
      <c r="C31" t="n">
        <v>20</v>
      </c>
      <c r="D31" t="inlineStr">
        <is>
          <t>gradient_multiplier</t>
        </is>
      </c>
      <c r="E31" t="n">
        <v>608400</v>
      </c>
      <c r="F31" t="n">
        <v>783757.4401268159</v>
      </c>
      <c r="G31" t="n">
        <v>1.288227219143353</v>
      </c>
      <c r="H31" t="n">
        <v>1521</v>
      </c>
      <c r="I31" t="n">
        <v>9.169999975711107e-05</v>
      </c>
      <c r="J31" t="n">
        <v>3.575057300040498</v>
      </c>
      <c r="K31" t="inlineStr">
        <is>
          <t>resampling=bilinear;dx=20;dy=20;slope_method=horn;runtime=compute_only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20</v>
      </c>
      <c r="B32" t="n">
        <v>20</v>
      </c>
      <c r="C32" t="n">
        <v>20</v>
      </c>
      <c r="D32" t="inlineStr">
        <is>
          <t>jenness_window_8tri</t>
        </is>
      </c>
      <c r="E32" t="n">
        <v>608400</v>
      </c>
      <c r="F32" t="n">
        <v>814227.9121082495</v>
      </c>
      <c r="G32" t="n">
        <v>1.338310177692718</v>
      </c>
      <c r="H32" t="n">
        <v>1521</v>
      </c>
      <c r="I32" t="n">
        <v>0.0002594999969005585</v>
      </c>
      <c r="J32" t="n">
        <v>3.575057300040498</v>
      </c>
      <c r="K32" t="inlineStr">
        <is>
          <t>resampling=bilinear;dx=20;dy=20;weight=0.25;triangle=heron;runtime=compute_only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20</v>
      </c>
      <c r="B33" t="n">
        <v>20</v>
      </c>
      <c r="C33" t="n">
        <v>20</v>
      </c>
      <c r="D33" t="inlineStr">
        <is>
          <t>sector_adaptive_jenness_integral</t>
        </is>
      </c>
      <c r="E33" t="n">
        <v>608400</v>
      </c>
      <c r="F33" t="n">
        <v>792149.8941929401</v>
      </c>
      <c r="G33" t="n">
        <v>1.302021522342111</v>
      </c>
      <c r="H33" t="n">
        <v>1521</v>
      </c>
      <c r="I33" t="n">
        <v>0.009634100017137825</v>
      </c>
      <c r="J33" t="n">
        <v>3.575057300040498</v>
      </c>
      <c r="K33" t="inlineStr">
        <is>
          <t>resampling=bilinear;dx=20;dy=20;surface=quadratic_ls_3x3;partition=8_sector_cell;min_samples=3;rel_tol=0.0001;abs_tol=0;max_level=5;runtime=compute_only</t>
        </is>
      </c>
      <c r="L33" t="inlineStr"/>
      <c r="M33" t="inlineStr"/>
      <c r="N33" t="inlineStr"/>
      <c r="O33" t="inlineStr"/>
      <c r="P33" t="inlineStr"/>
      <c r="Q33" t="n">
        <v>1.184746877054569</v>
      </c>
      <c r="R33" t="n">
        <v>3</v>
      </c>
      <c r="S33" t="n">
        <v>1</v>
      </c>
    </row>
    <row r="34">
      <c r="A34" t="n">
        <v>20</v>
      </c>
      <c r="B34" t="n">
        <v>20</v>
      </c>
      <c r="C34" t="n">
        <v>20</v>
      </c>
      <c r="D34" t="inlineStr">
        <is>
          <t>tin_2tri_cell</t>
        </is>
      </c>
      <c r="E34" t="n">
        <v>608400</v>
      </c>
      <c r="F34" t="n">
        <v>784140.2716689045</v>
      </c>
      <c r="G34" t="n">
        <v>1.288856462309179</v>
      </c>
      <c r="H34" t="n">
        <v>1521</v>
      </c>
      <c r="I34" t="n">
        <v>0.0002536999527364969</v>
      </c>
      <c r="J34" t="n">
        <v>3.575057300040498</v>
      </c>
      <c r="K34" t="inlineStr">
        <is>
          <t>resampling=bilinear;dx=20;dy=20;triangles=2;runtime=compute_only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50</v>
      </c>
      <c r="B35" t="n">
        <v>50</v>
      </c>
      <c r="C35" t="n">
        <v>50</v>
      </c>
      <c r="D35" t="inlineStr">
        <is>
          <t>gradient_multiplier</t>
        </is>
      </c>
      <c r="E35" t="n">
        <v>490000</v>
      </c>
      <c r="F35" t="n">
        <v>559945.442911073</v>
      </c>
      <c r="G35" t="n">
        <v>1.142745801859333</v>
      </c>
      <c r="H35" t="n">
        <v>196</v>
      </c>
      <c r="I35" t="n">
        <v>5.889998283237219e-05</v>
      </c>
      <c r="J35" t="n">
        <v>4.972152600006666</v>
      </c>
      <c r="K35" t="inlineStr">
        <is>
          <t>resampling=bilinear;dx=50;dy=50;slope_method=horn;runtime=compute_only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50</v>
      </c>
      <c r="B36" t="n">
        <v>50</v>
      </c>
      <c r="C36" t="n">
        <v>50</v>
      </c>
      <c r="D36" t="inlineStr">
        <is>
          <t>jenness_window_8tri</t>
        </is>
      </c>
      <c r="E36" t="n">
        <v>490000</v>
      </c>
      <c r="F36" t="n">
        <v>597664.551539358</v>
      </c>
      <c r="G36" t="n">
        <v>1.219723574570118</v>
      </c>
      <c r="H36" t="n">
        <v>196</v>
      </c>
      <c r="I36" t="n">
        <v>0.0001268000341951847</v>
      </c>
      <c r="J36" t="n">
        <v>4.972152600006666</v>
      </c>
      <c r="K36" t="inlineStr">
        <is>
          <t>resampling=bilinear;dx=50;dy=50;weight=0.25;triangle=heron;runtime=compute_only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50</v>
      </c>
      <c r="B37" t="n">
        <v>50</v>
      </c>
      <c r="C37" t="n">
        <v>50</v>
      </c>
      <c r="D37" t="inlineStr">
        <is>
          <t>sector_adaptive_jenness_integral</t>
        </is>
      </c>
      <c r="E37" t="n">
        <v>490000</v>
      </c>
      <c r="F37" t="n">
        <v>572080.3515777001</v>
      </c>
      <c r="G37" t="n">
        <v>1.167510921587143</v>
      </c>
      <c r="H37" t="n">
        <v>196</v>
      </c>
      <c r="I37" t="n">
        <v>0.002875300007872283</v>
      </c>
      <c r="J37" t="n">
        <v>4.972152600006666</v>
      </c>
      <c r="K37" t="inlineStr">
        <is>
          <t>resampling=bilinear;dx=50;dy=50;surface=quadratic_ls_3x3;partition=8_sector_cell;min_samples=3;rel_tol=0.0001;abs_tol=0;max_level=5;runtime=compute_only</t>
        </is>
      </c>
      <c r="L37" t="inlineStr"/>
      <c r="M37" t="inlineStr"/>
      <c r="N37" t="inlineStr"/>
      <c r="O37" t="inlineStr"/>
      <c r="P37" t="inlineStr"/>
      <c r="Q37" t="n">
        <v>1.239795918367347</v>
      </c>
      <c r="R37" t="n">
        <v>2</v>
      </c>
      <c r="S37" t="n">
        <v>1</v>
      </c>
    </row>
    <row r="38">
      <c r="A38" t="n">
        <v>50</v>
      </c>
      <c r="B38" t="n">
        <v>50</v>
      </c>
      <c r="C38" t="n">
        <v>50</v>
      </c>
      <c r="D38" t="inlineStr">
        <is>
          <t>tin_2tri_cell</t>
        </is>
      </c>
      <c r="E38" t="n">
        <v>490000</v>
      </c>
      <c r="F38" t="n">
        <v>560367.3435618095</v>
      </c>
      <c r="G38" t="n">
        <v>1.14360682359553</v>
      </c>
      <c r="H38" t="n">
        <v>196</v>
      </c>
      <c r="I38" t="n">
        <v>0.0001477999612689018</v>
      </c>
      <c r="J38" t="n">
        <v>4.972152600006666</v>
      </c>
      <c r="K38" t="inlineStr">
        <is>
          <t>resampling=bilinear;dx=50;dy=50;triangles=2;runtime=compute_only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gradient_multiplier_A3D</t>
        </is>
      </c>
      <c r="C1" t="inlineStr">
        <is>
          <t>jenness_window_8tri_A3D</t>
        </is>
      </c>
      <c r="D1" t="inlineStr">
        <is>
          <t>sector_adaptive_jenness_integral_A3D</t>
        </is>
      </c>
      <c r="E1" t="inlineStr">
        <is>
          <t>tin_2tri_cell_A3D</t>
        </is>
      </c>
    </row>
    <row r="2">
      <c r="A2" t="n">
        <v>0.05</v>
      </c>
      <c r="B2" t="n">
        <v>1142135.312197354</v>
      </c>
      <c r="C2" t="n">
        <v>1142606.598397461</v>
      </c>
      <c r="D2" t="n">
        <v>1142200.575258207</v>
      </c>
      <c r="E2" t="n">
        <v>1142192.148281432</v>
      </c>
    </row>
    <row r="3">
      <c r="A3" t="n">
        <v>0.1</v>
      </c>
      <c r="B3" t="n">
        <v>1139713.848954782</v>
      </c>
      <c r="C3" t="n">
        <v>1141069.380631273</v>
      </c>
      <c r="D3" t="n">
        <v>1139871.804680577</v>
      </c>
      <c r="E3" t="n">
        <v>1139937.970621434</v>
      </c>
    </row>
    <row r="4">
      <c r="A4" t="n">
        <v>0.5</v>
      </c>
      <c r="B4" t="n">
        <v>1094872.000627732</v>
      </c>
      <c r="C4" t="n">
        <v>1117475.879014734</v>
      </c>
      <c r="D4" t="n">
        <v>1097916.27821142</v>
      </c>
      <c r="E4" t="n">
        <v>1098752.550099303</v>
      </c>
    </row>
    <row r="5">
      <c r="A5" t="n">
        <v>1</v>
      </c>
      <c r="B5" t="n">
        <v>1025228.516657124</v>
      </c>
      <c r="C5" t="n">
        <v>1070164.703272934</v>
      </c>
      <c r="D5" t="n">
        <v>1031393.611751107</v>
      </c>
      <c r="E5" t="n">
        <v>1031211.916433166</v>
      </c>
    </row>
    <row r="6">
      <c r="A6" t="n">
        <v>2</v>
      </c>
      <c r="B6" t="n">
        <v>963906.9670821835</v>
      </c>
      <c r="C6" t="n">
        <v>996477.2955233818</v>
      </c>
      <c r="D6" t="n">
        <v>968245.464580632</v>
      </c>
      <c r="E6" t="n">
        <v>966525.4157608136</v>
      </c>
    </row>
    <row r="7">
      <c r="A7" t="n">
        <v>5</v>
      </c>
      <c r="B7" t="n">
        <v>917738.2430746093</v>
      </c>
      <c r="C7" t="n">
        <v>929592.1910192205</v>
      </c>
      <c r="D7" t="n">
        <v>919800.1992273743</v>
      </c>
      <c r="E7" t="n">
        <v>918178.0916024166</v>
      </c>
    </row>
    <row r="8">
      <c r="A8" t="n">
        <v>10</v>
      </c>
      <c r="B8" t="n">
        <v>865961.0203599777</v>
      </c>
      <c r="C8" t="n">
        <v>881343.3835812779</v>
      </c>
      <c r="D8" t="n">
        <v>870027.341614889</v>
      </c>
      <c r="E8" t="n">
        <v>866366.7018247022</v>
      </c>
    </row>
    <row r="9">
      <c r="A9" t="n">
        <v>20</v>
      </c>
      <c r="B9" t="n">
        <v>783757.4401268159</v>
      </c>
      <c r="C9" t="n">
        <v>814227.9121082495</v>
      </c>
      <c r="D9" t="n">
        <v>792149.8941929401</v>
      </c>
      <c r="E9" t="n">
        <v>784140.2716689045</v>
      </c>
    </row>
    <row r="10">
      <c r="A10" t="n">
        <v>50</v>
      </c>
      <c r="B10" t="n">
        <v>559945.442911073</v>
      </c>
      <c r="C10" t="n">
        <v>597664.551539358</v>
      </c>
      <c r="D10" t="n">
        <v>572080.3515777001</v>
      </c>
      <c r="E10" t="n">
        <v>560367.3435618095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reference_kind</t>
        </is>
      </c>
      <c r="B1" t="inlineStr">
        <is>
          <t>gsd_m</t>
        </is>
      </c>
      <c r="C1" t="inlineStr">
        <is>
          <t>dx</t>
        </is>
      </c>
      <c r="D1" t="inlineStr">
        <is>
          <t>dy</t>
        </is>
      </c>
      <c r="E1" t="inlineStr">
        <is>
          <t>reference_A2D</t>
        </is>
      </c>
      <c r="F1" t="inlineStr">
        <is>
          <t>reference_A3D</t>
        </is>
      </c>
      <c r="G1" t="inlineStr">
        <is>
          <t>reference_ratio</t>
        </is>
      </c>
      <c r="H1" t="inlineStr">
        <is>
          <t>note</t>
        </is>
      </c>
    </row>
    <row r="2">
      <c r="A2" t="inlineStr">
        <is>
          <t>native_grid_reference</t>
        </is>
      </c>
      <c r="B2" t="n">
        <v>0.05</v>
      </c>
      <c r="C2" t="n">
        <v>0.05</v>
      </c>
      <c r="D2" t="n">
        <v>0.05</v>
      </c>
      <c r="E2" t="n">
        <v>671006.7225000001</v>
      </c>
      <c r="F2" t="n">
        <v>1142729.337873354</v>
      </c>
      <c r="G2" t="n">
        <v>1.703007286746451</v>
      </c>
      <c r="H2" t="inlineStr">
        <is>
          <t>Raster-grid reference evaluated on this GSD/grid.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timestamp_utc</t>
        </is>
      </c>
      <c r="B2" t="inlineStr">
        <is>
          <t>2026-03-17T10:48:54.524387+00:00</t>
        </is>
      </c>
    </row>
    <row r="3">
      <c r="A3" t="inlineStr">
        <is>
          <t>dem</t>
        </is>
      </c>
      <c r="B3" t="inlineStr">
        <is>
          <t>C:\d_surucusu\yuzey_alani_hesaplama\out_synth\synth_glacial_16384x16384_dx0.05_seed0_20260315_213848.tif</t>
        </is>
      </c>
    </row>
    <row r="4">
      <c r="A4" t="inlineStr">
        <is>
          <t>dem_info.path</t>
        </is>
      </c>
      <c r="B4" t="inlineStr">
        <is>
          <t>C:\d_surucusu\yuzey_alani_hesaplama\out_synth\synth_glacial_16384x16384_dx0.05_seed0_20260315_213848.tif</t>
        </is>
      </c>
    </row>
    <row r="5">
      <c r="A5" t="inlineStr">
        <is>
          <t>dem_info.crs</t>
        </is>
      </c>
      <c r="B5" t="inlineStr">
        <is>
          <t>EPSG:32636</t>
        </is>
      </c>
    </row>
    <row r="6">
      <c r="A6" t="inlineStr">
        <is>
          <t>dem_info.transform</t>
        </is>
      </c>
      <c r="B6" t="inlineStr">
        <is>
          <t>[0.05, 0.0, 500000.0, 0.0, -0.05, 4500000.0, 0.0, 0.0, 1.0]</t>
        </is>
      </c>
    </row>
    <row r="7">
      <c r="A7" t="inlineStr">
        <is>
          <t>dem_info.width</t>
        </is>
      </c>
      <c r="B7" t="n">
        <v>16384</v>
      </c>
    </row>
    <row r="8">
      <c r="A8" t="inlineStr">
        <is>
          <t>dem_info.height</t>
        </is>
      </c>
      <c r="B8" t="n">
        <v>16384</v>
      </c>
    </row>
    <row r="9">
      <c r="A9" t="inlineStr">
        <is>
          <t>dem_info.nodata</t>
        </is>
      </c>
      <c r="B9" t="n">
        <v>-9999</v>
      </c>
    </row>
    <row r="10">
      <c r="A10" t="inlineStr">
        <is>
          <t>dem_info.dtype</t>
        </is>
      </c>
      <c r="B10" t="inlineStr">
        <is>
          <t>float32</t>
        </is>
      </c>
    </row>
    <row r="11">
      <c r="A11" t="inlineStr">
        <is>
          <t>dem_info.dx</t>
        </is>
      </c>
      <c r="B11" t="n">
        <v>0.05</v>
      </c>
    </row>
    <row r="12">
      <c r="A12" t="inlineStr">
        <is>
          <t>dem_info.dy</t>
        </is>
      </c>
      <c r="B12" t="n">
        <v>0.05</v>
      </c>
    </row>
    <row r="13">
      <c r="A13" t="inlineStr">
        <is>
          <t>synthetic_reference.sidecar_path</t>
        </is>
      </c>
      <c r="B13" t="inlineStr">
        <is>
          <t>C:\d_surucusu\yuzey_alani_hesaplama\out_synth\synth_glacial_16384x16384_dx0.05_seed0_20260315_213848.reference.json</t>
        </is>
      </c>
    </row>
    <row r="14">
      <c r="A14" t="inlineStr">
        <is>
          <t>synthetic_reference.terrain_family</t>
        </is>
      </c>
      <c r="B14" t="inlineStr">
        <is>
          <t>raster_first</t>
        </is>
      </c>
    </row>
    <row r="15">
      <c r="A15" t="inlineStr">
        <is>
          <t>synthetic_reference.has_continuous_ground_truth</t>
        </is>
      </c>
      <c r="B15" t="b">
        <v>0</v>
      </c>
    </row>
    <row r="16">
      <c r="A16" t="inlineStr">
        <is>
          <t>synthetic_reference.continuous_gt_is_gsd_independent</t>
        </is>
      </c>
      <c r="B16" t="b">
        <v>0</v>
      </c>
    </row>
    <row r="17">
      <c r="A17" t="inlineStr">
        <is>
          <t>synthetic_reference.continuous_gt_surface_area_m2</t>
        </is>
      </c>
      <c r="B17" t="inlineStr"/>
    </row>
    <row r="18">
      <c r="A18" t="inlineStr">
        <is>
          <t>synthetic_reference.continuous_gt_planar_area_m2</t>
        </is>
      </c>
      <c r="B18" t="inlineStr"/>
    </row>
    <row r="19">
      <c r="A19" t="inlineStr">
        <is>
          <t>synthetic_reference.native_reference_surface_area_m2</t>
        </is>
      </c>
      <c r="B19" t="n">
        <v>1142729.337873354</v>
      </c>
    </row>
    <row r="20">
      <c r="A20" t="inlineStr">
        <is>
          <t>synthetic_reference.resolution_count</t>
        </is>
      </c>
      <c r="B20" t="n">
        <v>1</v>
      </c>
    </row>
    <row r="21">
      <c r="A21" t="inlineStr">
        <is>
          <t>versions.python</t>
        </is>
      </c>
      <c r="B21" t="inlineStr">
        <is>
          <t>3.12.13 | packaged by conda-forge | (main, Mar  5 2026, 16:36:12) [MSC v.1944 64 bit (AMD64)]</t>
        </is>
      </c>
    </row>
    <row r="22">
      <c r="A22" t="inlineStr">
        <is>
          <t>versions.surface_area</t>
        </is>
      </c>
      <c r="B22" t="inlineStr">
        <is>
          <t>0.1.0</t>
        </is>
      </c>
    </row>
    <row r="23">
      <c r="A23" t="inlineStr">
        <is>
          <t>versions.numpy</t>
        </is>
      </c>
      <c r="B23" t="inlineStr">
        <is>
          <t>2.4.2</t>
        </is>
      </c>
    </row>
    <row r="24">
      <c r="A24" t="inlineStr">
        <is>
          <t>versions.numba</t>
        </is>
      </c>
      <c r="B24" t="inlineStr">
        <is>
          <t>0.64.0</t>
        </is>
      </c>
    </row>
    <row r="25">
      <c r="A25" t="inlineStr">
        <is>
          <t>versions.rasterio</t>
        </is>
      </c>
      <c r="B25" t="inlineStr">
        <is>
          <t>1.5.0</t>
        </is>
      </c>
    </row>
    <row r="26">
      <c r="A26" t="inlineStr">
        <is>
          <t>versions.scipy</t>
        </is>
      </c>
      <c r="B26" t="inlineStr">
        <is>
          <t>1.17.1</t>
        </is>
      </c>
    </row>
    <row r="27">
      <c r="A27" t="inlineStr">
        <is>
          <t>versions.pandas</t>
        </is>
      </c>
      <c r="B27" t="inlineStr">
        <is>
          <t>3.0.1</t>
        </is>
      </c>
    </row>
    <row r="28">
      <c r="A28" t="inlineStr">
        <is>
          <t>versions.matplotlib</t>
        </is>
      </c>
      <c r="B28" t="inlineStr">
        <is>
          <t>3.10.8</t>
        </is>
      </c>
    </row>
    <row r="29">
      <c r="A29" t="inlineStr">
        <is>
          <t>params.gsd_specs</t>
        </is>
      </c>
      <c r="B29" t="inlineStr">
        <is>
          <t>["native", "0.1", "0.5", "1", "2", "5", "10", "20", "50"]</t>
        </is>
      </c>
    </row>
    <row r="30">
      <c r="A30" t="inlineStr">
        <is>
          <t>params.gsd_list</t>
        </is>
      </c>
      <c r="B30" t="inlineStr">
        <is>
          <t>[0.05, 0.1, 0.5, 1.0, 2.0, 5.0, 10.0, 20.0, 50.0]</t>
        </is>
      </c>
    </row>
    <row r="31">
      <c r="A31" t="inlineStr">
        <is>
          <t>params.allow_upsample</t>
        </is>
      </c>
      <c r="B31" t="b">
        <v>0</v>
      </c>
    </row>
    <row r="32">
      <c r="A32" t="inlineStr">
        <is>
          <t>params.methods</t>
        </is>
      </c>
      <c r="B32" t="inlineStr">
        <is>
          <t>["jenness_window_8tri", "sector_adaptive_jenness_integral", "tin_2tri_cell", "gradient_multiplier"]</t>
        </is>
      </c>
    </row>
    <row r="33">
      <c r="A33" t="inlineStr">
        <is>
          <t>params.resampling</t>
        </is>
      </c>
      <c r="B33" t="inlineStr">
        <is>
          <t>bilinear</t>
        </is>
      </c>
    </row>
    <row r="34">
      <c r="A34" t="inlineStr">
        <is>
          <t>params.nodata_override</t>
        </is>
      </c>
      <c r="B34" t="inlineStr"/>
    </row>
    <row r="35">
      <c r="A35" t="inlineStr">
        <is>
          <t>params.slope_method</t>
        </is>
      </c>
      <c r="B35" t="inlineStr">
        <is>
          <t>horn</t>
        </is>
      </c>
    </row>
    <row r="36">
      <c r="A36" t="inlineStr">
        <is>
          <t>params.jenness_weight</t>
        </is>
      </c>
      <c r="B36" t="n">
        <v>0.25</v>
      </c>
    </row>
    <row r="37">
      <c r="A37" t="inlineStr">
        <is>
          <t>params.integral_N</t>
        </is>
      </c>
      <c r="B37" t="n">
        <v>5</v>
      </c>
    </row>
    <row r="38">
      <c r="A38" t="inlineStr">
        <is>
          <t>params.adaptive_rel_tol</t>
        </is>
      </c>
      <c r="B38" t="n">
        <v>0.0001</v>
      </c>
    </row>
    <row r="39">
      <c r="A39" t="inlineStr">
        <is>
          <t>params.adaptive_abs_tol</t>
        </is>
      </c>
      <c r="B39" t="n">
        <v>0</v>
      </c>
    </row>
    <row r="40">
      <c r="A40" t="inlineStr">
        <is>
          <t>params.adaptive_max_level</t>
        </is>
      </c>
      <c r="B40" t="n">
        <v>5</v>
      </c>
    </row>
    <row r="41">
      <c r="A41" t="inlineStr">
        <is>
          <t>params.adaptive_min_N</t>
        </is>
      </c>
      <c r="B41" t="n">
        <v>2</v>
      </c>
    </row>
    <row r="42">
      <c r="A42" t="inlineStr">
        <is>
          <t>params.adaptive_roughness_fastpath</t>
        </is>
      </c>
      <c r="B42" t="b">
        <v>1</v>
      </c>
    </row>
    <row r="43">
      <c r="A43" t="inlineStr">
        <is>
          <t>params.adaptive_roughness_threshold</t>
        </is>
      </c>
      <c r="B43" t="inlineStr"/>
    </row>
    <row r="44">
      <c r="A44" t="inlineStr">
        <is>
          <t>params.sector_jenness_rel_tol</t>
        </is>
      </c>
      <c r="B44" t="n">
        <v>0.0001</v>
      </c>
    </row>
    <row r="45">
      <c r="A45" t="inlineStr">
        <is>
          <t>params.sector_jenness_abs_tol</t>
        </is>
      </c>
      <c r="B45" t="n">
        <v>0</v>
      </c>
    </row>
    <row r="46">
      <c r="A46" t="inlineStr">
        <is>
          <t>params.sector_jenness_max_level</t>
        </is>
      </c>
      <c r="B46" t="n">
        <v>5</v>
      </c>
    </row>
    <row r="47">
      <c r="A47" t="inlineStr">
        <is>
          <t>params.sector_jenness_min_samples</t>
        </is>
      </c>
      <c r="B47" t="n">
        <v>3</v>
      </c>
    </row>
    <row r="48">
      <c r="A48" t="inlineStr">
        <is>
          <t>params.sigma_mode</t>
        </is>
      </c>
      <c r="B48" t="inlineStr">
        <is>
          <t>mult</t>
        </is>
      </c>
    </row>
    <row r="49">
      <c r="A49" t="inlineStr">
        <is>
          <t>params.sigma_m_values</t>
        </is>
      </c>
      <c r="B49" t="inlineStr">
        <is>
          <t>[2.0, 5.0]</t>
        </is>
      </c>
    </row>
    <row r="50">
      <c r="A50" t="inlineStr">
        <is>
          <t>params.roi</t>
        </is>
      </c>
      <c r="B50" t="inlineStr"/>
    </row>
    <row r="51">
      <c r="A51" t="inlineStr">
        <is>
          <t>params.roi_id_field</t>
        </is>
      </c>
      <c r="B51" t="inlineStr"/>
    </row>
    <row r="52">
      <c r="A52" t="inlineStr">
        <is>
          <t>params.roi_mode</t>
        </is>
      </c>
      <c r="B52" t="inlineStr">
        <is>
          <t>mask</t>
        </is>
      </c>
    </row>
    <row r="53">
      <c r="A53" t="inlineStr">
        <is>
          <t>params.roi_all_touched</t>
        </is>
      </c>
      <c r="B53" t="b">
        <v>0</v>
      </c>
    </row>
    <row r="54">
      <c r="A54" t="inlineStr">
        <is>
          <t>params.roi_only</t>
        </is>
      </c>
      <c r="B54" t="b">
        <v>0</v>
      </c>
    </row>
    <row r="55">
      <c r="A55" t="inlineStr">
        <is>
          <t>params.workers</t>
        </is>
      </c>
      <c r="B55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73"/>
  <sheetViews>
    <sheetView showGridLines="1" showRowColHeaders="1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4" customWidth="1" min="3" max="3"/>
    <col width="22" customWidth="1" min="4" max="4"/>
    <col width="47" customWidth="1" min="5" max="5"/>
    <col width="35" customWidth="1" min="6" max="6"/>
    <col width="28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4" customHeight="1">
      <c r="A1" s="1" t="inlineStr">
        <is>
          <t>Grafikler</t>
        </is>
      </c>
    </row>
    <row r="2" ht="20" customHeight="1">
      <c r="A2" s="2" t="inlineStr">
        <is>
          <t>Excel chart nesneleri ile duzenlenebilir dashboard gorunumu</t>
        </is>
      </c>
    </row>
    <row r="3" ht="22" customHeight="1">
      <c r="A3" s="3" t="inlineStr">
        <is>
          <t>Kaynak tablolar asagidadadir. Seri, eksen ve stil ayarlarini Excel icinden degistirebilirsiniz.</t>
        </is>
      </c>
    </row>
    <row r="4" ht="36" customHeight="1">
      <c r="A4" s="3" t="inlineStr">
        <is>
          <t>Ipuclari: legend veya seri ustune tiklayip renk/kalinlik degistirebilir, eksenleri sag tikla bicimlendirebilirsiniz.</t>
        </is>
      </c>
    </row>
    <row r="127" ht="20" customHeight="1">
      <c r="A127" s="4" t="inlineStr">
        <is>
          <t>A3D vs GSD - kaynak veri</t>
        </is>
      </c>
    </row>
    <row r="128" ht="22" customHeight="1">
      <c r="A128" s="5" t="inlineStr">
        <is>
          <t>gsd_m</t>
        </is>
      </c>
      <c r="B128" s="5" t="inlineStr">
        <is>
          <t>gradient_multiplier</t>
        </is>
      </c>
      <c r="C128" s="5" t="inlineStr">
        <is>
          <t>jenness_window_8tri</t>
        </is>
      </c>
      <c r="D128" s="5" t="inlineStr">
        <is>
          <t>sector_adaptive_jenness_integral</t>
        </is>
      </c>
      <c r="E128" s="5" t="inlineStr">
        <is>
          <t>tin_2tri_cell</t>
        </is>
      </c>
      <c r="F128" s="5" t="inlineStr">
        <is>
          <t>Native-grid reference (per GSD)</t>
        </is>
      </c>
    </row>
    <row r="129">
      <c r="A129" s="6" t="n">
        <v>0.05</v>
      </c>
      <c r="B129" s="6" t="n">
        <v>1142135.312197354</v>
      </c>
      <c r="C129" s="6" t="n">
        <v>1142606.598397461</v>
      </c>
      <c r="D129" s="6" t="n">
        <v>1142200.575258207</v>
      </c>
      <c r="E129" s="6" t="n">
        <v>1142192.148281432</v>
      </c>
      <c r="F129" s="6" t="n">
        <v>1142729.337873354</v>
      </c>
    </row>
    <row r="130">
      <c r="A130" s="7" t="n">
        <v>0.1</v>
      </c>
      <c r="B130" s="7" t="n">
        <v>1139713.848954782</v>
      </c>
      <c r="C130" s="7" t="n">
        <v>1141069.380631273</v>
      </c>
      <c r="D130" s="7" t="n">
        <v>1139871.804680577</v>
      </c>
      <c r="E130" s="7" t="n">
        <v>1139937.970621434</v>
      </c>
      <c r="F130" s="8" t="n"/>
    </row>
    <row r="131">
      <c r="A131" s="6" t="n">
        <v>0.5</v>
      </c>
      <c r="B131" s="6" t="n">
        <v>1094872.000627732</v>
      </c>
      <c r="C131" s="6" t="n">
        <v>1117475.879014734</v>
      </c>
      <c r="D131" s="6" t="n">
        <v>1097916.27821142</v>
      </c>
      <c r="E131" s="6" t="n">
        <v>1098752.550099303</v>
      </c>
      <c r="F131" s="9" t="n"/>
    </row>
    <row r="132">
      <c r="A132" s="7" t="n">
        <v>1</v>
      </c>
      <c r="B132" s="7" t="n">
        <v>1025228.516657124</v>
      </c>
      <c r="C132" s="7" t="n">
        <v>1070164.703272934</v>
      </c>
      <c r="D132" s="7" t="n">
        <v>1031393.611751107</v>
      </c>
      <c r="E132" s="7" t="n">
        <v>1031211.916433166</v>
      </c>
      <c r="F132" s="8" t="n"/>
    </row>
    <row r="133">
      <c r="A133" s="6" t="n">
        <v>2</v>
      </c>
      <c r="B133" s="6" t="n">
        <v>963906.9670821835</v>
      </c>
      <c r="C133" s="6" t="n">
        <v>996477.2955233818</v>
      </c>
      <c r="D133" s="6" t="n">
        <v>968245.464580632</v>
      </c>
      <c r="E133" s="6" t="n">
        <v>966525.4157608136</v>
      </c>
      <c r="F133" s="9" t="n"/>
    </row>
    <row r="134">
      <c r="A134" s="7" t="n">
        <v>5</v>
      </c>
      <c r="B134" s="7" t="n">
        <v>917738.2430746093</v>
      </c>
      <c r="C134" s="7" t="n">
        <v>929592.1910192205</v>
      </c>
      <c r="D134" s="7" t="n">
        <v>919800.1992273743</v>
      </c>
      <c r="E134" s="7" t="n">
        <v>918178.0916024166</v>
      </c>
      <c r="F134" s="8" t="n"/>
    </row>
    <row r="135">
      <c r="A135" s="6" t="n">
        <v>10</v>
      </c>
      <c r="B135" s="6" t="n">
        <v>865961.0203599777</v>
      </c>
      <c r="C135" s="6" t="n">
        <v>881343.3835812779</v>
      </c>
      <c r="D135" s="6" t="n">
        <v>870027.341614889</v>
      </c>
      <c r="E135" s="6" t="n">
        <v>866366.7018247022</v>
      </c>
      <c r="F135" s="9" t="n"/>
    </row>
    <row r="136">
      <c r="A136" s="7" t="n">
        <v>20</v>
      </c>
      <c r="B136" s="7" t="n">
        <v>783757.4401268159</v>
      </c>
      <c r="C136" s="7" t="n">
        <v>814227.9121082495</v>
      </c>
      <c r="D136" s="7" t="n">
        <v>792149.8941929401</v>
      </c>
      <c r="E136" s="7" t="n">
        <v>784140.2716689045</v>
      </c>
      <c r="F136" s="8" t="n"/>
    </row>
    <row r="137">
      <c r="A137" s="6" t="n">
        <v>50</v>
      </c>
      <c r="B137" s="6" t="n">
        <v>559945.442911073</v>
      </c>
      <c r="C137" s="6" t="n">
        <v>597664.551539358</v>
      </c>
      <c r="D137" s="6" t="n">
        <v>572080.3515777001</v>
      </c>
      <c r="E137" s="6" t="n">
        <v>560367.3435618095</v>
      </c>
      <c r="F137" s="9" t="n"/>
    </row>
    <row r="140" ht="20" customHeight="1">
      <c r="A140" s="4" t="inlineStr">
        <is>
          <t>A3D/A2D Ratio vs GSD - kaynak veri</t>
        </is>
      </c>
    </row>
    <row r="141" ht="22" customHeight="1">
      <c r="A141" s="5" t="inlineStr">
        <is>
          <t>gsd_m</t>
        </is>
      </c>
      <c r="B141" s="5" t="inlineStr">
        <is>
          <t>gradient_multiplier</t>
        </is>
      </c>
      <c r="C141" s="5" t="inlineStr">
        <is>
          <t>jenness_window_8tri</t>
        </is>
      </c>
      <c r="D141" s="5" t="inlineStr">
        <is>
          <t>sector_adaptive_jenness_integral</t>
        </is>
      </c>
      <c r="E141" s="5" t="inlineStr">
        <is>
          <t>tin_2tri_cell</t>
        </is>
      </c>
      <c r="F141" s="5" t="inlineStr">
        <is>
          <t>Native-grid reference (per GSD)</t>
        </is>
      </c>
    </row>
    <row r="142">
      <c r="A142" s="6" t="n">
        <v>0.05</v>
      </c>
      <c r="B142" s="6" t="n">
        <v>1.702329821723769</v>
      </c>
      <c r="C142" s="6" t="n">
        <v>1.703032264371713</v>
      </c>
      <c r="D142" s="6" t="n">
        <v>1.702427095009658</v>
      </c>
      <c r="E142" s="6" t="n">
        <v>1.70241453476945</v>
      </c>
      <c r="F142" s="6" t="n">
        <v>1.703007286746451</v>
      </c>
    </row>
    <row r="143">
      <c r="A143" s="7" t="n">
        <v>0.1</v>
      </c>
      <c r="B143" s="7" t="n">
        <v>1.699135532558962</v>
      </c>
      <c r="C143" s="7" t="n">
        <v>1.701156418800844</v>
      </c>
      <c r="D143" s="7" t="n">
        <v>1.699371019902136</v>
      </c>
      <c r="E143" s="7" t="n">
        <v>1.699469662996856</v>
      </c>
      <c r="F143" s="8" t="n"/>
    </row>
    <row r="144">
      <c r="A144" s="6" t="n">
        <v>0.5</v>
      </c>
      <c r="B144" s="6" t="n">
        <v>1.636276685080392</v>
      </c>
      <c r="C144" s="6" t="n">
        <v>1.670057984790164</v>
      </c>
      <c r="D144" s="6" t="n">
        <v>1.640826331459371</v>
      </c>
      <c r="E144" s="6" t="n">
        <v>1.64207613252447</v>
      </c>
      <c r="F144" s="9" t="n"/>
    </row>
    <row r="145">
      <c r="A145" s="7" t="n">
        <v>1</v>
      </c>
      <c r="B145" s="7" t="n">
        <v>1.535948182902076</v>
      </c>
      <c r="C145" s="7" t="n">
        <v>1.603269422077269</v>
      </c>
      <c r="D145" s="7" t="n">
        <v>1.545184432629013</v>
      </c>
      <c r="E145" s="7" t="n">
        <v>1.544912225419694</v>
      </c>
      <c r="F145" s="8" t="n"/>
    </row>
    <row r="146">
      <c r="A146" s="6" t="n">
        <v>2</v>
      </c>
      <c r="B146" s="6" t="n">
        <v>1.447620757464352</v>
      </c>
      <c r="C146" s="6" t="n">
        <v>1.496535730733645</v>
      </c>
      <c r="D146" s="6" t="n">
        <v>1.454136426765895</v>
      </c>
      <c r="E146" s="6" t="n">
        <v>1.451553212347435</v>
      </c>
      <c r="F146" s="9" t="n"/>
    </row>
    <row r="147">
      <c r="A147" s="7" t="n">
        <v>5</v>
      </c>
      <c r="B147" s="7" t="n">
        <v>1.398777995846074</v>
      </c>
      <c r="C147" s="7" t="n">
        <v>1.416845284284744</v>
      </c>
      <c r="D147" s="7" t="n">
        <v>1.401920742611453</v>
      </c>
      <c r="E147" s="7" t="n">
        <v>1.399448394455749</v>
      </c>
      <c r="F147" s="8" t="n"/>
    </row>
    <row r="148">
      <c r="A148" s="6" t="n">
        <v>10</v>
      </c>
      <c r="B148" s="6" t="n">
        <v>1.353064094312465</v>
      </c>
      <c r="C148" s="6" t="n">
        <v>1.377099036845747</v>
      </c>
      <c r="D148" s="6" t="n">
        <v>1.359417721273264</v>
      </c>
      <c r="E148" s="6" t="n">
        <v>1.353697971601097</v>
      </c>
      <c r="F148" s="9" t="n"/>
    </row>
    <row r="149">
      <c r="A149" s="7" t="n">
        <v>20</v>
      </c>
      <c r="B149" s="7" t="n">
        <v>1.288227219143353</v>
      </c>
      <c r="C149" s="7" t="n">
        <v>1.338310177692718</v>
      </c>
      <c r="D149" s="7" t="n">
        <v>1.302021522342111</v>
      </c>
      <c r="E149" s="7" t="n">
        <v>1.288856462309179</v>
      </c>
      <c r="F149" s="8" t="n"/>
    </row>
    <row r="150">
      <c r="A150" s="6" t="n">
        <v>50</v>
      </c>
      <c r="B150" s="6" t="n">
        <v>1.142745801859333</v>
      </c>
      <c r="C150" s="6" t="n">
        <v>1.219723574570118</v>
      </c>
      <c r="D150" s="6" t="n">
        <v>1.167510921587143</v>
      </c>
      <c r="E150" s="6" t="n">
        <v>1.14360682359553</v>
      </c>
      <c r="F150" s="9" t="n"/>
    </row>
    <row r="153" ht="20" customHeight="1">
      <c r="A153" s="4" t="inlineStr">
        <is>
          <t>Relative Error vs GSD (Native-grid Reference) - kaynak veri</t>
        </is>
      </c>
    </row>
    <row r="154" ht="22" customHeight="1">
      <c r="A154" s="5" t="inlineStr">
        <is>
          <t>gsd_m</t>
        </is>
      </c>
      <c r="B154" s="5" t="inlineStr">
        <is>
          <t>gradient_multiplier</t>
        </is>
      </c>
      <c r="C154" s="5" t="inlineStr">
        <is>
          <t>jenness_window_8tri</t>
        </is>
      </c>
      <c r="D154" s="5" t="inlineStr">
        <is>
          <t>sector_adaptive_jenness_integral</t>
        </is>
      </c>
      <c r="E154" s="5" t="inlineStr">
        <is>
          <t>tin_2tri_cell</t>
        </is>
      </c>
    </row>
    <row r="155">
      <c r="A155" s="6" t="n">
        <v>0.05</v>
      </c>
      <c r="B155" s="6" t="n">
        <v>-0.0005198305988239466</v>
      </c>
      <c r="C155" s="6" t="n">
        <v>-0.0001074090528917765</v>
      </c>
      <c r="D155" s="6" t="n">
        <v>-0.0004627190338276596</v>
      </c>
      <c r="E155" s="6" t="n">
        <v>-0.0004700934631833476</v>
      </c>
    </row>
    <row r="158" ht="20" customHeight="1">
      <c r="A158" s="4" t="inlineStr">
        <is>
          <t>Runtime vs GSD - kaynak veri</t>
        </is>
      </c>
    </row>
    <row r="159" ht="22" customHeight="1">
      <c r="A159" s="5" t="inlineStr">
        <is>
          <t>gsd_m</t>
        </is>
      </c>
      <c r="B159" s="5" t="inlineStr">
        <is>
          <t>gradient_multiplier</t>
        </is>
      </c>
      <c r="C159" s="5" t="inlineStr">
        <is>
          <t>jenness_window_8tri</t>
        </is>
      </c>
      <c r="D159" s="5" t="inlineStr">
        <is>
          <t>sector_adaptive_jenness_integral</t>
        </is>
      </c>
      <c r="E159" s="5" t="inlineStr">
        <is>
          <t>tin_2tri_cell</t>
        </is>
      </c>
    </row>
    <row r="160">
      <c r="A160" s="6" t="n">
        <v>0.05</v>
      </c>
      <c r="B160" s="6" t="n">
        <v>5.8237881019013</v>
      </c>
      <c r="C160" s="6" t="n">
        <v>63.5940032984945</v>
      </c>
      <c r="D160" s="6" t="n">
        <v>2162.107937701687</v>
      </c>
      <c r="E160" s="6" t="n">
        <v>14.61292630684329</v>
      </c>
    </row>
    <row r="161">
      <c r="A161" s="7" t="n">
        <v>0.1</v>
      </c>
      <c r="B161" s="7" t="n">
        <v>7.368339600623585</v>
      </c>
      <c r="C161" s="7" t="n">
        <v>20.20095019927248</v>
      </c>
      <c r="D161" s="7" t="n">
        <v>540.277074800164</v>
      </c>
      <c r="E161" s="7" t="n">
        <v>9.353245999664068</v>
      </c>
    </row>
    <row r="162">
      <c r="A162" s="6" t="n">
        <v>0.5</v>
      </c>
      <c r="B162" s="6" t="n">
        <v>3.277476699848194</v>
      </c>
      <c r="C162" s="6" t="n">
        <v>3.701454000140075</v>
      </c>
      <c r="D162" s="6" t="n">
        <v>25.82242540008156</v>
      </c>
      <c r="E162" s="6" t="n">
        <v>3.380453999794554</v>
      </c>
    </row>
    <row r="163">
      <c r="A163" s="7" t="n">
        <v>1</v>
      </c>
      <c r="B163" s="7" t="n">
        <v>3.220465900201816</v>
      </c>
      <c r="C163" s="7" t="n">
        <v>3.30261029995745</v>
      </c>
      <c r="D163" s="7" t="n">
        <v>11.89613140001893</v>
      </c>
      <c r="E163" s="7" t="n">
        <v>3.232843000034336</v>
      </c>
    </row>
    <row r="164">
      <c r="A164" s="6" t="n">
        <v>2</v>
      </c>
      <c r="B164" s="6" t="n">
        <v>3.28346840001177</v>
      </c>
      <c r="C164" s="6" t="n">
        <v>3.306083800038323</v>
      </c>
      <c r="D164" s="6" t="n">
        <v>4.591579400002956</v>
      </c>
      <c r="E164" s="6" t="n">
        <v>3.285864600155037</v>
      </c>
    </row>
    <row r="165">
      <c r="A165" s="7" t="n">
        <v>5</v>
      </c>
      <c r="B165" s="7" t="n">
        <v>3.227872100018431</v>
      </c>
      <c r="C165" s="7" t="n">
        <v>3.22993079997832</v>
      </c>
      <c r="D165" s="7" t="n">
        <v>3.333947900042403</v>
      </c>
      <c r="E165" s="7" t="n">
        <v>3.228301000024658</v>
      </c>
    </row>
    <row r="166">
      <c r="A166" s="6" t="n">
        <v>10</v>
      </c>
      <c r="B166" s="6" t="n">
        <v>3.293727800017223</v>
      </c>
      <c r="C166" s="6" t="n">
        <v>3.29408520006109</v>
      </c>
      <c r="D166" s="6" t="n">
        <v>3.319765400025062</v>
      </c>
      <c r="E166" s="6" t="n">
        <v>3.293839399993885</v>
      </c>
    </row>
    <row r="167">
      <c r="A167" s="7" t="n">
        <v>20</v>
      </c>
      <c r="B167" s="7" t="n">
        <v>3.575149000040255</v>
      </c>
      <c r="C167" s="7" t="n">
        <v>3.575316800037399</v>
      </c>
      <c r="D167" s="7" t="n">
        <v>3.584691400057636</v>
      </c>
      <c r="E167" s="7" t="n">
        <v>3.575310999993235</v>
      </c>
    </row>
    <row r="168">
      <c r="A168" s="6" t="n">
        <v>50</v>
      </c>
      <c r="B168" s="6" t="n">
        <v>4.972211499989498</v>
      </c>
      <c r="C168" s="6" t="n">
        <v>4.972279400040861</v>
      </c>
      <c r="D168" s="6" t="n">
        <v>4.975027900014538</v>
      </c>
      <c r="E168" s="6" t="n">
        <v>4.972300399967935</v>
      </c>
    </row>
    <row r="171" ht="20" customHeight="1">
      <c r="A171" s="4" t="inlineStr">
        <is>
          <t>Error vs Runtime - kaynak veri</t>
        </is>
      </c>
    </row>
    <row r="172" ht="22" customHeight="1">
      <c r="A172" s="5" t="inlineStr">
        <is>
          <t>gradient_multiplier runtime (s)</t>
        </is>
      </c>
      <c r="B172" s="5" t="inlineStr">
        <is>
          <t>gradient_multiplier</t>
        </is>
      </c>
      <c r="C172" s="5" t="inlineStr">
        <is>
          <t>jenness_window_8tri runtime (s)</t>
        </is>
      </c>
      <c r="D172" s="5" t="inlineStr">
        <is>
          <t>jenness_window_8tri</t>
        </is>
      </c>
      <c r="E172" s="5" t="inlineStr">
        <is>
          <t>sector_adaptive_jenness_integral runtime (s)</t>
        </is>
      </c>
      <c r="F172" s="5" t="inlineStr">
        <is>
          <t>sector_adaptive_jenness_integral</t>
        </is>
      </c>
      <c r="G172" s="5" t="inlineStr">
        <is>
          <t>tin_2tri_cell runtime (s)</t>
        </is>
      </c>
      <c r="H172" s="5" t="inlineStr">
        <is>
          <t>tin_2tri_cell</t>
        </is>
      </c>
    </row>
    <row r="173">
      <c r="A173" s="6" t="n">
        <v>5.8237881019013</v>
      </c>
      <c r="B173" s="6" t="n">
        <v>0.0005198305988239466</v>
      </c>
      <c r="C173" s="6" t="n">
        <v>63.5940032984945</v>
      </c>
      <c r="D173" s="6" t="n">
        <v>0.0001074090528917765</v>
      </c>
      <c r="E173" s="6" t="n">
        <v>2162.107937701687</v>
      </c>
      <c r="F173" s="6" t="n">
        <v>0.0004627190338276596</v>
      </c>
      <c r="G173" s="6" t="n">
        <v>14.61292630684329</v>
      </c>
      <c r="H173" s="6" t="n">
        <v>0.0004700934631833476</v>
      </c>
    </row>
  </sheetData>
  <mergeCells count="4">
    <mergeCell ref="A3:R3"/>
    <mergeCell ref="A2:R2"/>
    <mergeCell ref="A1:R1"/>
    <mergeCell ref="A4:R4"/>
  </mergeCells>
  <pageMargins left="0.75" right="0.75" top="1" bottom="1" header="0.5" footer="0.5"/>
  <drawing xmlns:r="http://schemas.openxmlformats.org/officeDocument/2006/relationships" r:id="rId1"/>
  <tableParts count="5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2026-03-17T10:55:42Z</dcterms:created>
  <dcterms:modified xsi:type="dcterms:W3CDTF">2026-03-17T10:55:42Z</dcterms:modified>
</cp:coreProperties>
</file>